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lakh Pandya\Desktop\Batches\2023_DS_Ashesh_Gunjan\Data Analysis\Excel\"/>
    </mc:Choice>
  </mc:AlternateContent>
  <xr:revisionPtr revIDLastSave="0" documentId="8_{D28533B5-59E4-41BF-8752-8B027AC393E6}" xr6:coauthVersionLast="47" xr6:coauthVersionMax="47" xr10:uidLastSave="{00000000-0000-0000-0000-000000000000}"/>
  <bookViews>
    <workbookView xWindow="-108" yWindow="-108" windowWidth="23256" windowHeight="12576" activeTab="1" xr2:uid="{D777D591-F8DD-4F7B-BB66-65C5FD9DFF93}"/>
  </bookViews>
  <sheets>
    <sheet name="Sheet1" sheetId="1" r:id="rId1"/>
    <sheet name="Sheet2" sheetId="2" r:id="rId2"/>
    <sheet name="Sheet3" sheetId="3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6" i="3" l="1"/>
  <c r="C16" i="3"/>
  <c r="D15" i="3"/>
  <c r="C15" i="3"/>
  <c r="D14" i="3"/>
  <c r="C14" i="3"/>
  <c r="B16" i="3"/>
  <c r="B15" i="3"/>
  <c r="B14" i="3"/>
  <c r="D3" i="3"/>
  <c r="D4" i="3"/>
  <c r="D5" i="3"/>
  <c r="D6" i="3"/>
  <c r="D7" i="3"/>
  <c r="D8" i="3"/>
  <c r="D9" i="3"/>
  <c r="D10" i="3"/>
  <c r="D11" i="3"/>
  <c r="D2" i="3"/>
  <c r="D16" i="2"/>
  <c r="C16" i="2"/>
  <c r="D15" i="2"/>
  <c r="C15" i="2"/>
  <c r="D14" i="2"/>
  <c r="C14" i="2"/>
  <c r="B16" i="2"/>
  <c r="B15" i="2"/>
  <c r="B14" i="2"/>
  <c r="D3" i="2"/>
  <c r="D4" i="2"/>
  <c r="D5" i="2"/>
  <c r="D6" i="2"/>
  <c r="D7" i="2"/>
  <c r="D8" i="2"/>
  <c r="D9" i="2"/>
  <c r="D10" i="2"/>
  <c r="D11" i="2"/>
  <c r="D2" i="2"/>
  <c r="F12" i="1" l="1"/>
  <c r="E12" i="1"/>
  <c r="E10" i="1"/>
  <c r="B16" i="1"/>
  <c r="B15" i="1"/>
  <c r="B13" i="1"/>
  <c r="B12" i="1"/>
  <c r="B10" i="1"/>
  <c r="C3" i="1" s="1"/>
  <c r="D3" i="1" s="1"/>
  <c r="E3" i="1" s="1"/>
  <c r="C2" i="1" l="1"/>
  <c r="D2" i="1" s="1"/>
  <c r="C7" i="1"/>
  <c r="D7" i="1" s="1"/>
  <c r="E7" i="1" s="1"/>
  <c r="C6" i="1"/>
  <c r="D6" i="1" s="1"/>
  <c r="E6" i="1" s="1"/>
  <c r="C5" i="1"/>
  <c r="D5" i="1" s="1"/>
  <c r="E5" i="1" s="1"/>
  <c r="C4" i="1"/>
  <c r="D4" i="1" s="1"/>
  <c r="E4" i="1" s="1"/>
  <c r="E2" i="1" l="1"/>
  <c r="F10" i="1" s="1"/>
  <c r="D10" i="1"/>
</calcChain>
</file>

<file path=xl/sharedStrings.xml><?xml version="1.0" encoding="utf-8"?>
<sst xmlns="http://schemas.openxmlformats.org/spreadsheetml/2006/main" count="55" uniqueCount="39">
  <si>
    <t>Name</t>
  </si>
  <si>
    <t>Marks</t>
  </si>
  <si>
    <t>A</t>
  </si>
  <si>
    <t>B</t>
  </si>
  <si>
    <t>C</t>
  </si>
  <si>
    <t>D</t>
  </si>
  <si>
    <t>E</t>
  </si>
  <si>
    <t>F</t>
  </si>
  <si>
    <t>Mean/Avg</t>
  </si>
  <si>
    <t>Mean</t>
  </si>
  <si>
    <t>Deviation</t>
  </si>
  <si>
    <t>Squared Deviation</t>
  </si>
  <si>
    <t>Variance</t>
  </si>
  <si>
    <t>Standard Deviation</t>
  </si>
  <si>
    <t>Median</t>
  </si>
  <si>
    <t>Mode</t>
  </si>
  <si>
    <t>variance</t>
  </si>
  <si>
    <t>standard deviation</t>
  </si>
  <si>
    <t>Data</t>
  </si>
  <si>
    <t>n</t>
  </si>
  <si>
    <t>Test 1</t>
  </si>
  <si>
    <t>Test 2</t>
  </si>
  <si>
    <t>G</t>
  </si>
  <si>
    <t>H</t>
  </si>
  <si>
    <t>I</t>
  </si>
  <si>
    <t>J</t>
  </si>
  <si>
    <t>Sub 1</t>
  </si>
  <si>
    <t>Sub 2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</si>
  <si>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</si>
  <si>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</si>
  <si>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</si>
  <si>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</si>
  <si>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</si>
  <si>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</si>
  <si>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</si>
  <si>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</si>
  <si>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</si>
  <si>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</si>
  <si>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Percentage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</si>
</sst>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1" fillId="3" borderId="1" xfId="0" applyFont="1" applyFill="1" applyBorder="1" applyAlignment="1">
      <alignment horizontal="left" vertical="top"/>
    </xf>
    <xf numFmtId="0" fontId="0" fillId="0" borderId="1" xfId="0" applyBorder="1"/>
    <xf numFmtId="0" fontId="2" fillId="3" borderId="1" xfId="0" applyFont="1" applyFill="1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horizontal="right" vertical="top"/>
    </xf>
    <xf numFmtId="0" fontId="1" fillId="3" borderId="1" xfId="0" applyFont="1" applyFill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29AA6-C4EE-4FAC-B56A-57665D24DC8E}">
  <dimension ref="A1:O16"/>
  <sheetViews>
    <sheetView workbookViewId="0">
      <selection activeCell="D15" sqref="D15"/>
    </sheetView>
  </sheetViews>
  <sheetFormatPr defaultRowHeight="14.4" x14ac:dyDescent="0.3"/>
  <cols>
    <col min="1" max="1" width="16.21875" bestFit="1" customWidth="1"/>
    <col min="5" max="5" width="15.88671875" bestFit="1" customWidth="1"/>
  </cols>
  <sheetData>
    <row r="1" spans="1:15" x14ac:dyDescent="0.3">
      <c r="A1" t="s">
        <v>0</v>
      </c>
      <c r="B1" t="s">
        <v>1</v>
      </c>
      <c r="C1" t="s">
        <v>9</v>
      </c>
      <c r="D1" t="s">
        <v>10</v>
      </c>
      <c r="E1" t="s">
        <v>11</v>
      </c>
      <c r="O1" t="s">
        <v>18</v>
      </c>
    </row>
    <row r="2" spans="1:15" x14ac:dyDescent="0.3">
      <c r="A2" t="s">
        <v>2</v>
      </c>
      <c r="B2">
        <v>10</v>
      </c>
      <c r="C2">
        <f>$B$10</f>
        <v>27.5</v>
      </c>
      <c r="D2">
        <f>B2-C2</f>
        <v>-17.5</v>
      </c>
      <c r="E2">
        <f>D2*D2</f>
        <v>306.25</v>
      </c>
      <c r="O2">
        <v>50</v>
      </c>
    </row>
    <row r="3" spans="1:15" x14ac:dyDescent="0.3">
      <c r="A3" t="s">
        <v>3</v>
      </c>
      <c r="B3">
        <v>15</v>
      </c>
      <c r="C3">
        <f t="shared" ref="C3:C7" si="0">$B$10</f>
        <v>27.5</v>
      </c>
      <c r="D3">
        <f t="shared" ref="D3:D7" si="1">B3-C3</f>
        <v>-12.5</v>
      </c>
      <c r="E3">
        <f t="shared" ref="E3:E7" si="2">D3*D3</f>
        <v>156.25</v>
      </c>
      <c r="O3">
        <v>150</v>
      </c>
    </row>
    <row r="4" spans="1:15" x14ac:dyDescent="0.3">
      <c r="A4" t="s">
        <v>4</v>
      </c>
      <c r="B4">
        <v>20</v>
      </c>
      <c r="C4">
        <f t="shared" si="0"/>
        <v>27.5</v>
      </c>
      <c r="D4">
        <f t="shared" si="1"/>
        <v>-7.5</v>
      </c>
      <c r="E4">
        <f t="shared" si="2"/>
        <v>56.25</v>
      </c>
      <c r="L4" t="s">
        <v>9</v>
      </c>
      <c r="M4">
        <v>30</v>
      </c>
      <c r="O4">
        <v>-30</v>
      </c>
    </row>
    <row r="5" spans="1:15" x14ac:dyDescent="0.3">
      <c r="A5" t="s">
        <v>5</v>
      </c>
      <c r="B5">
        <v>30</v>
      </c>
      <c r="C5">
        <f t="shared" si="0"/>
        <v>27.5</v>
      </c>
      <c r="D5">
        <f t="shared" si="1"/>
        <v>2.5</v>
      </c>
      <c r="E5">
        <f t="shared" si="2"/>
        <v>6.25</v>
      </c>
      <c r="L5" t="s">
        <v>19</v>
      </c>
      <c r="M5">
        <v>6</v>
      </c>
      <c r="O5">
        <v>0</v>
      </c>
    </row>
    <row r="6" spans="1:15" x14ac:dyDescent="0.3">
      <c r="A6" t="s">
        <v>6</v>
      </c>
      <c r="B6">
        <v>40</v>
      </c>
      <c r="C6">
        <f t="shared" si="0"/>
        <v>27.5</v>
      </c>
      <c r="D6">
        <f t="shared" si="1"/>
        <v>12.5</v>
      </c>
      <c r="E6">
        <f t="shared" si="2"/>
        <v>156.25</v>
      </c>
      <c r="O6">
        <v>20</v>
      </c>
    </row>
    <row r="7" spans="1:15" x14ac:dyDescent="0.3">
      <c r="A7" t="s">
        <v>7</v>
      </c>
      <c r="B7">
        <v>50</v>
      </c>
      <c r="C7">
        <f t="shared" si="0"/>
        <v>27.5</v>
      </c>
      <c r="D7">
        <f t="shared" si="1"/>
        <v>22.5</v>
      </c>
      <c r="E7">
        <f t="shared" si="2"/>
        <v>506.25</v>
      </c>
      <c r="O7" s="1">
        <v>-10</v>
      </c>
    </row>
    <row r="10" spans="1:15" x14ac:dyDescent="0.3">
      <c r="A10" t="s">
        <v>8</v>
      </c>
      <c r="B10">
        <f>AVERAGE(B2:B7)</f>
        <v>27.5</v>
      </c>
      <c r="D10">
        <f>SUM(D2:D7)</f>
        <v>0</v>
      </c>
      <c r="E10">
        <f>SUM(E2:E7)/6</f>
        <v>197.91666666666666</v>
      </c>
      <c r="F10">
        <f>SQRT(E10)</f>
        <v>14.068285846778442</v>
      </c>
    </row>
    <row r="11" spans="1:15" x14ac:dyDescent="0.3">
      <c r="E11" t="s">
        <v>12</v>
      </c>
      <c r="F11" t="s">
        <v>13</v>
      </c>
    </row>
    <row r="12" spans="1:15" x14ac:dyDescent="0.3">
      <c r="A12" t="s">
        <v>14</v>
      </c>
      <c r="B12">
        <f>MEDIAN(B2:B7)</f>
        <v>25</v>
      </c>
      <c r="E12">
        <f>SUM(E2:E7)/5</f>
        <v>237.5</v>
      </c>
      <c r="F12">
        <f>SQRT(E12)</f>
        <v>15.411035007422441</v>
      </c>
    </row>
    <row r="13" spans="1:15" x14ac:dyDescent="0.3">
      <c r="A13" t="s">
        <v>15</v>
      </c>
      <c r="B13" t="e">
        <f>MODE(B2:B7)</f>
        <v>#N/A</v>
      </c>
    </row>
    <row r="15" spans="1:15" x14ac:dyDescent="0.3">
      <c r="A15" t="s">
        <v>16</v>
      </c>
      <c r="B15">
        <f>VAR(B2:B7)</f>
        <v>237.5</v>
      </c>
    </row>
    <row r="16" spans="1:15" x14ac:dyDescent="0.3">
      <c r="A16" t="s">
        <v>17</v>
      </c>
      <c r="B16">
        <f>STDEV(B2:B7)</f>
        <v>15.411035007422441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FDEED-2FFE-473B-A364-488846EEADF2}">
  <dimension ref="A1:D16"/>
  <sheetViews>
    <sheetView tabSelected="1" workbookViewId="0">
      <selection activeCell="F7" sqref="F7"/>
    </sheetView>
  </sheetViews>
  <sheetFormatPr defaultRowHeight="14.4" x14ac:dyDescent="0.3"/>
  <cols>
    <col min="1" max="1" width="17.33203125" bestFit="1" customWidth="1"/>
    <col min="2" max="3" width="6.5546875" bestFit="1" customWidth="1"/>
    <col min="4" max="4" width="11.33203125" bestFit="1" customWidth="1"/>
  </cols>
  <sheetData>
    <row r="1" spans="1:4" ht="15.6" x14ac:dyDescent="0.3">
      <c r="A1" s="4" t="s">
        <v>0</v>
      </c>
      <c r="B1" s="4" t="s">
        <v>20</v>
      </c>
      <c r="C1" s="4" t="s">
        <v>21</v>
      </c>
      <c r="D1" s="4" t="s">
        <v>38</v>
      </c>
    </row>
    <row r="2" spans="1:4" x14ac:dyDescent="0.3">
      <c r="A2" s="5" t="s">
        <v>2</v>
      </c>
      <c r="B2" s="6">
        <v>30</v>
      </c>
      <c r="C2" s="6">
        <v>44</v>
      </c>
      <c r="D2" s="3">
        <f>ROUND((B2+C2)/2, 2)</f>
        <v>37</v>
      </c>
    </row>
    <row r="3" spans="1:4" x14ac:dyDescent="0.3">
      <c r="A3" s="5" t="s">
        <v>3</v>
      </c>
      <c r="B3" s="6">
        <v>25</v>
      </c>
      <c r="C3" s="6">
        <v>29</v>
      </c>
      <c r="D3" s="3">
        <f t="shared" ref="D3:D11" si="0">ROUND((B3+C3)/2, 2)</f>
        <v>27</v>
      </c>
    </row>
    <row r="4" spans="1:4" x14ac:dyDescent="0.3">
      <c r="A4" s="5" t="s">
        <v>4</v>
      </c>
      <c r="B4" s="6">
        <v>35</v>
      </c>
      <c r="C4" s="6">
        <v>45</v>
      </c>
      <c r="D4" s="3">
        <f t="shared" si="0"/>
        <v>40</v>
      </c>
    </row>
    <row r="5" spans="1:4" x14ac:dyDescent="0.3">
      <c r="A5" s="5" t="s">
        <v>5</v>
      </c>
      <c r="B5" s="6">
        <v>50</v>
      </c>
      <c r="C5" s="6">
        <v>45</v>
      </c>
      <c r="D5" s="3">
        <f t="shared" si="0"/>
        <v>47.5</v>
      </c>
    </row>
    <row r="6" spans="1:4" x14ac:dyDescent="0.3">
      <c r="A6" s="5" t="s">
        <v>6</v>
      </c>
      <c r="B6" s="6">
        <v>49</v>
      </c>
      <c r="C6" s="6">
        <v>42</v>
      </c>
      <c r="D6" s="3">
        <f t="shared" si="0"/>
        <v>45.5</v>
      </c>
    </row>
    <row r="7" spans="1:4" x14ac:dyDescent="0.3">
      <c r="A7" s="5" t="s">
        <v>7</v>
      </c>
      <c r="B7" s="6">
        <v>22</v>
      </c>
      <c r="C7" s="6">
        <v>37</v>
      </c>
      <c r="D7" s="3">
        <f t="shared" si="0"/>
        <v>29.5</v>
      </c>
    </row>
    <row r="8" spans="1:4" x14ac:dyDescent="0.3">
      <c r="A8" s="5" t="s">
        <v>22</v>
      </c>
      <c r="B8" s="6">
        <v>48</v>
      </c>
      <c r="C8" s="6">
        <v>40</v>
      </c>
      <c r="D8" s="3">
        <f t="shared" si="0"/>
        <v>44</v>
      </c>
    </row>
    <row r="9" spans="1:4" x14ac:dyDescent="0.3">
      <c r="A9" s="5" t="s">
        <v>23</v>
      </c>
      <c r="B9" s="6">
        <v>28</v>
      </c>
      <c r="C9" s="6">
        <v>38</v>
      </c>
      <c r="D9" s="3">
        <f t="shared" si="0"/>
        <v>33</v>
      </c>
    </row>
    <row r="10" spans="1:4" x14ac:dyDescent="0.3">
      <c r="A10" s="5" t="s">
        <v>24</v>
      </c>
      <c r="B10" s="6">
        <v>33</v>
      </c>
      <c r="C10" s="6">
        <v>29</v>
      </c>
      <c r="D10" s="3">
        <f t="shared" si="0"/>
        <v>31</v>
      </c>
    </row>
    <row r="11" spans="1:4" x14ac:dyDescent="0.3">
      <c r="A11" s="5" t="s">
        <v>25</v>
      </c>
      <c r="B11" s="6">
        <v>40</v>
      </c>
      <c r="C11" s="6">
        <v>26</v>
      </c>
      <c r="D11" s="3">
        <f t="shared" si="0"/>
        <v>33</v>
      </c>
    </row>
    <row r="14" spans="1:4" x14ac:dyDescent="0.3">
      <c r="A14" s="2" t="s">
        <v>9</v>
      </c>
      <c r="B14" s="3">
        <f>ROUND(AVERAGE(B2:B11), 2)</f>
        <v>36</v>
      </c>
      <c r="C14" s="3">
        <f>ROUND(AVERAGE(C2:C11), 2)</f>
        <v>37.5</v>
      </c>
      <c r="D14" s="3">
        <f>ROUND(AVERAGE(D2:D11), 2)</f>
        <v>36.75</v>
      </c>
    </row>
    <row r="15" spans="1:4" x14ac:dyDescent="0.3">
      <c r="A15" s="2" t="s">
        <v>14</v>
      </c>
      <c r="B15" s="3">
        <f>ROUND(MEDIAN(B2:B11), 2)</f>
        <v>34</v>
      </c>
      <c r="C15" s="3">
        <f>ROUND(MEDIAN(C2:C11), 2)</f>
        <v>39</v>
      </c>
      <c r="D15" s="3">
        <f>ROUND(MEDIAN(D2:D11), 2)</f>
        <v>35</v>
      </c>
    </row>
    <row r="16" spans="1:4" x14ac:dyDescent="0.3">
      <c r="A16" s="2" t="s">
        <v>13</v>
      </c>
      <c r="B16" s="3">
        <f>ROUND(STDEV(B2:B11), 2)</f>
        <v>10.28</v>
      </c>
      <c r="C16" s="3">
        <f>ROUND(STDEV(C2:C11), 2)</f>
        <v>7.14</v>
      </c>
      <c r="D16" s="3">
        <f>ROUND(STDEV(D2:D11), 2)</f>
        <v>7.18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A1317-1055-424F-91F8-13E809908913}">
  <dimension ref="A1:D16"/>
  <sheetViews>
    <sheetView workbookViewId="0">
      <selection activeCell="F7" sqref="F7"/>
    </sheetView>
  </sheetViews>
  <sheetFormatPr defaultRowHeight="14.4" x14ac:dyDescent="0.3"/>
  <cols>
    <col min="1" max="1" width="17.33203125" bestFit="1" customWidth="1"/>
    <col min="2" max="3" width="5.6640625" bestFit="1" customWidth="1"/>
    <col min="4" max="4" width="10.44140625" bestFit="1" customWidth="1"/>
  </cols>
  <sheetData>
    <row r="1" spans="1:4" x14ac:dyDescent="0.3">
      <c r="A1" s="7" t="s">
        <v>0</v>
      </c>
      <c r="B1" s="7" t="s">
        <v>26</v>
      </c>
      <c r="C1" s="7" t="s">
        <v>27</v>
      </c>
      <c r="D1" s="7" t="s">
        <v>38</v>
      </c>
    </row>
    <row r="2" spans="1:4" x14ac:dyDescent="0.3">
      <c r="A2" s="5" t="s">
        <v>28</v>
      </c>
      <c r="B2" s="6">
        <v>10</v>
      </c>
      <c r="C2" s="6">
        <v>15</v>
      </c>
      <c r="D2" s="3">
        <f>ROUND((B2+C2)/2, 2)</f>
        <v>12.5</v>
      </c>
    </row>
    <row r="3" spans="1:4" x14ac:dyDescent="0.3">
      <c r="A3" s="5" t="s">
        <v>29</v>
      </c>
      <c r="B3" s="6">
        <v>12</v>
      </c>
      <c r="C3" s="6">
        <v>12</v>
      </c>
      <c r="D3" s="3">
        <f t="shared" ref="D3:D11" si="0">ROUND((B3+C3)/2, 2)</f>
        <v>12</v>
      </c>
    </row>
    <row r="4" spans="1:4" x14ac:dyDescent="0.3">
      <c r="A4" s="5" t="s">
        <v>30</v>
      </c>
      <c r="B4" s="6">
        <v>11</v>
      </c>
      <c r="C4" s="6">
        <v>13</v>
      </c>
      <c r="D4" s="3">
        <f t="shared" si="0"/>
        <v>12</v>
      </c>
    </row>
    <row r="5" spans="1:4" x14ac:dyDescent="0.3">
      <c r="A5" s="5" t="s">
        <v>31</v>
      </c>
      <c r="B5" s="6">
        <v>9</v>
      </c>
      <c r="C5" s="6">
        <v>15</v>
      </c>
      <c r="D5" s="3">
        <f t="shared" si="0"/>
        <v>12</v>
      </c>
    </row>
    <row r="6" spans="1:4" x14ac:dyDescent="0.3">
      <c r="A6" s="5" t="s">
        <v>32</v>
      </c>
      <c r="B6" s="6">
        <v>14</v>
      </c>
      <c r="C6" s="6">
        <v>9</v>
      </c>
      <c r="D6" s="3">
        <f t="shared" si="0"/>
        <v>11.5</v>
      </c>
    </row>
    <row r="7" spans="1:4" x14ac:dyDescent="0.3">
      <c r="A7" s="5" t="s">
        <v>33</v>
      </c>
      <c r="B7" s="6">
        <v>15</v>
      </c>
      <c r="C7" s="6">
        <v>10</v>
      </c>
      <c r="D7" s="3">
        <f t="shared" si="0"/>
        <v>12.5</v>
      </c>
    </row>
    <row r="8" spans="1:4" x14ac:dyDescent="0.3">
      <c r="A8" s="5" t="s">
        <v>34</v>
      </c>
      <c r="B8" s="6">
        <v>13</v>
      </c>
      <c r="C8" s="6">
        <v>10</v>
      </c>
      <c r="D8" s="3">
        <f t="shared" si="0"/>
        <v>11.5</v>
      </c>
    </row>
    <row r="9" spans="1:4" x14ac:dyDescent="0.3">
      <c r="A9" s="5" t="s">
        <v>35</v>
      </c>
      <c r="B9" s="6">
        <v>7</v>
      </c>
      <c r="C9" s="6">
        <v>11</v>
      </c>
      <c r="D9" s="3">
        <f t="shared" si="0"/>
        <v>9</v>
      </c>
    </row>
    <row r="10" spans="1:4" x14ac:dyDescent="0.3">
      <c r="A10" s="5" t="s">
        <v>36</v>
      </c>
      <c r="B10" s="6">
        <v>8</v>
      </c>
      <c r="C10" s="6">
        <v>15</v>
      </c>
      <c r="D10" s="3">
        <f t="shared" si="0"/>
        <v>11.5</v>
      </c>
    </row>
    <row r="11" spans="1:4" x14ac:dyDescent="0.3">
      <c r="A11" s="5" t="s">
        <v>37</v>
      </c>
      <c r="B11" s="6">
        <v>9</v>
      </c>
      <c r="C11" s="6">
        <v>13</v>
      </c>
      <c r="D11" s="3">
        <f t="shared" si="0"/>
        <v>11</v>
      </c>
    </row>
    <row r="14" spans="1:4" x14ac:dyDescent="0.3">
      <c r="A14" s="2" t="s">
        <v>9</v>
      </c>
      <c r="B14" s="3">
        <f>ROUND(AVERAGE(B2:B11), 2)</f>
        <v>10.8</v>
      </c>
      <c r="C14" s="3">
        <f>ROUND(AVERAGE(C2:C11), 2)</f>
        <v>12.3</v>
      </c>
      <c r="D14" s="3">
        <f>ROUND(AVERAGE(D2:D11), 2)</f>
        <v>11.55</v>
      </c>
    </row>
    <row r="15" spans="1:4" x14ac:dyDescent="0.3">
      <c r="A15" s="2" t="s">
        <v>14</v>
      </c>
      <c r="B15" s="3">
        <f>ROUND(MEDIAN(B2:B11), 2)</f>
        <v>10.5</v>
      </c>
      <c r="C15" s="3">
        <f>ROUND(MEDIAN(C2:C11), 2)</f>
        <v>12.5</v>
      </c>
      <c r="D15" s="3">
        <f>ROUND(MEDIAN(D2:D11), 2)</f>
        <v>11.75</v>
      </c>
    </row>
    <row r="16" spans="1:4" x14ac:dyDescent="0.3">
      <c r="A16" s="2" t="s">
        <v>13</v>
      </c>
      <c r="B16" s="3">
        <f>ROUND(STDEV(B2:B11), 2)</f>
        <v>2.66</v>
      </c>
      <c r="C16" s="3">
        <f>ROUND(STDEV(C2:C11), 2)</f>
        <v>2.2599999999999998</v>
      </c>
      <c r="D16" s="3">
        <f>ROUND(STDEV(D2:D11), 2)</f>
        <v>1.01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Alakh Pandya</dc:creator>
  <cp:lastModifiedBy>Alakh Pandya</cp:lastModifiedBy>
  <dcterms:created xsi:type="dcterms:W3CDTF">2023-10-14T03:49:50Z</dcterms:created>
  <dcterms:modified xsi:type="dcterms:W3CDTF">2023-10-14T04:58:32Z</dcterms:modified>
</cp:coreProperties>
</file>