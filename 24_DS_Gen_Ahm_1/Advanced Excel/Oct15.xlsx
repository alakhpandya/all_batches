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Alakh Pandya\Desktop\Batches\24_DS_Gen_Ahm_1\Advanced Excel\"/>
    </mc:Choice>
  </mc:AlternateContent>
  <xr:revisionPtr revIDLastSave="0" documentId="13_ncr:1_{B61BC860-6695-4851-83F4-8841F4A88604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Datefunc" sheetId="2" r:id="rId1"/>
    <sheet name="Data Validation" sheetId="3" r:id="rId2"/>
    <sheet name="Population" sheetId="4" r:id="rId3"/>
    <sheet name="Per Capita Income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5" l="1"/>
  <c r="F4" i="5"/>
  <c r="F5" i="5"/>
  <c r="F6" i="5"/>
  <c r="F7" i="5"/>
  <c r="F2" i="5"/>
  <c r="C29" i="5"/>
  <c r="F27" i="5"/>
  <c r="F26" i="5"/>
  <c r="E20" i="5"/>
  <c r="E16" i="5"/>
  <c r="B23" i="5"/>
  <c r="B20" i="5"/>
  <c r="B17" i="5"/>
  <c r="B16" i="5"/>
  <c r="C28" i="5" l="1"/>
  <c r="C3" i="5"/>
  <c r="C4" i="5"/>
  <c r="C5" i="5"/>
  <c r="C6" i="5"/>
  <c r="C7" i="5"/>
  <c r="C2" i="5"/>
  <c r="E7" i="5"/>
  <c r="E3" i="5"/>
  <c r="E4" i="5"/>
  <c r="E5" i="5"/>
  <c r="E6" i="5"/>
  <c r="E2" i="5"/>
  <c r="D3" i="5"/>
  <c r="D4" i="5"/>
  <c r="D5" i="5"/>
  <c r="D6" i="5"/>
  <c r="D7" i="5"/>
  <c r="D2" i="5"/>
  <c r="D5" i="3" l="1"/>
  <c r="S5" i="2" l="1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4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4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4" i="2"/>
  <c r="C24" i="2"/>
  <c r="C2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4" i="2"/>
  <c r="H23" i="2"/>
  <c r="F23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4" i="2"/>
</calcChain>
</file>

<file path=xl/sharedStrings.xml><?xml version="1.0" encoding="utf-8"?>
<sst xmlns="http://schemas.openxmlformats.org/spreadsheetml/2006/main" count="84" uniqueCount="63">
  <si>
    <t>Which rows have April as their month and 'Numbers' at least 10?</t>
  </si>
  <si>
    <t>Which rows have April as their month or 'Numbers' at least 10?</t>
  </si>
  <si>
    <t>Extracting in different ways using TEXT</t>
  </si>
  <si>
    <t>Date</t>
  </si>
  <si>
    <t>Numbers</t>
  </si>
  <si>
    <t>Year</t>
  </si>
  <si>
    <t>Month</t>
  </si>
  <si>
    <t>OR</t>
  </si>
  <si>
    <t>AND</t>
  </si>
  <si>
    <t>Birth Year</t>
  </si>
  <si>
    <t>Year (Short)</t>
  </si>
  <si>
    <t>Month (short)</t>
  </si>
  <si>
    <t>Zero Padded Month</t>
  </si>
  <si>
    <t>Month Name (short)</t>
  </si>
  <si>
    <t>Month Name (full)</t>
  </si>
  <si>
    <t>Zero Padded Date</t>
  </si>
  <si>
    <t>Day (Short)</t>
  </si>
  <si>
    <t>Day (Full)</t>
  </si>
  <si>
    <t>Numbers in 2 digits</t>
  </si>
  <si>
    <t>Numbers in 3 digits</t>
  </si>
  <si>
    <t>Input</t>
  </si>
  <si>
    <t>Creating date:</t>
  </si>
  <si>
    <t>Between 30 to 40</t>
  </si>
  <si>
    <t>Not between 10 to 20</t>
  </si>
  <si>
    <t>Yes</t>
  </si>
  <si>
    <t>No</t>
  </si>
  <si>
    <t>Qty:</t>
  </si>
  <si>
    <t>Amount:</t>
  </si>
  <si>
    <t>Day:</t>
  </si>
  <si>
    <t>Date:</t>
  </si>
  <si>
    <t>Choose:</t>
  </si>
  <si>
    <t>Rate:</t>
  </si>
  <si>
    <t>Fri</t>
  </si>
  <si>
    <t>STD Code</t>
  </si>
  <si>
    <t>City</t>
  </si>
  <si>
    <t>Population</t>
  </si>
  <si>
    <t>Avg. Literacy</t>
  </si>
  <si>
    <t>Family Income</t>
  </si>
  <si>
    <t>Area</t>
  </si>
  <si>
    <t>Ahmedabad</t>
  </si>
  <si>
    <t>Surat</t>
  </si>
  <si>
    <t>Patan</t>
  </si>
  <si>
    <t>Rajkot</t>
  </si>
  <si>
    <t>Disa</t>
  </si>
  <si>
    <t>Palanpur</t>
  </si>
  <si>
    <t>Per Capita Income</t>
  </si>
  <si>
    <t>Match Function</t>
  </si>
  <si>
    <t>Index Function</t>
  </si>
  <si>
    <t>Enter the city</t>
  </si>
  <si>
    <t>Enter Index No</t>
  </si>
  <si>
    <t>Index No</t>
  </si>
  <si>
    <t>Enter Row No</t>
  </si>
  <si>
    <t>Enter Col No</t>
  </si>
  <si>
    <t>Value</t>
  </si>
  <si>
    <t>Enter City Name</t>
  </si>
  <si>
    <t>Parameter</t>
  </si>
  <si>
    <t>Direct Value</t>
  </si>
  <si>
    <t>Changing the lookup array</t>
  </si>
  <si>
    <t>Match takes only 1D array!</t>
  </si>
  <si>
    <t>Column Number</t>
  </si>
  <si>
    <t>row num of city</t>
  </si>
  <si>
    <t>col num of para</t>
  </si>
  <si>
    <t>STD Code (Can't find using VLOOKUP!)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</si>
</sst>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\-mm\-yyyy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0" fontId="1" fillId="0" borderId="0" xfId="0" applyFont="1"/>
    <xf numFmtId="16" fontId="0" fillId="0" borderId="0" xfId="0" applyNumberFormat="1"/>
    <xf numFmtId="164" fontId="0" fillId="0" borderId="0" xfId="0" applyNumberFormat="1"/>
    <xf numFmtId="0" fontId="0" fillId="2" borderId="0" xfId="0" applyFill="1"/>
    <xf numFmtId="0" fontId="0" fillId="0" borderId="1" xfId="0" applyBorder="1"/>
    <xf numFmtId="0" fontId="0" fillId="3" borderId="0" xfId="0" applyFill="1"/>
    <xf numFmtId="0" fontId="0" fillId="0" borderId="2" xfId="0" applyBorder="1"/>
    <xf numFmtId="0" fontId="2" fillId="0" borderId="0" xfId="0" applyFont="1"/>
    <xf numFmtId="0" fontId="0" fillId="0" borderId="3" xfId="0" applyBorder="1"/>
    <xf numFmtId="0" fontId="0" fillId="4" borderId="0" xfId="0" applyFill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62650-CC32-4123-BADA-0061DDB541BC}">
  <dimension ref="A1:S27"/>
  <sheetViews>
    <sheetView zoomScale="115" zoomScaleNormal="115" workbookViewId="0">
      <selection activeCell="B4" sqref="B4"/>
    </sheetView>
  </sheetViews>
  <sheetFormatPr defaultRowHeight="14.4" x14ac:dyDescent="0.3"/>
  <cols>
    <col min="1" max="1" width="10.88671875" bestFit="1" customWidth="1"/>
    <col min="2" max="2" width="19.21875" bestFit="1" customWidth="1"/>
    <col min="3" max="3" width="8.6640625" customWidth="1"/>
    <col min="4" max="4" width="6.44140625" bestFit="1" customWidth="1"/>
    <col min="5" max="5" width="8" bestFit="1" customWidth="1"/>
    <col min="6" max="7" width="8" customWidth="1"/>
    <col min="8" max="8" width="12.44140625" bestFit="1" customWidth="1"/>
    <col min="9" max="9" width="10.5546875" bestFit="1" customWidth="1"/>
    <col min="10" max="10" width="12.21875" bestFit="1" customWidth="1"/>
    <col min="11" max="11" width="17.44140625" bestFit="1" customWidth="1"/>
    <col min="12" max="12" width="17.77734375" bestFit="1" customWidth="1"/>
    <col min="13" max="13" width="16" bestFit="1" customWidth="1"/>
    <col min="14" max="14" width="8" bestFit="1" customWidth="1"/>
    <col min="15" max="15" width="15.6640625" bestFit="1" customWidth="1"/>
    <col min="16" max="16" width="10" bestFit="1" customWidth="1"/>
    <col min="17" max="17" width="10.44140625" bestFit="1" customWidth="1"/>
    <col min="18" max="19" width="17" bestFit="1" customWidth="1"/>
  </cols>
  <sheetData>
    <row r="1" spans="1:19" x14ac:dyDescent="0.3">
      <c r="A1" t="s">
        <v>0</v>
      </c>
    </row>
    <row r="2" spans="1:19" x14ac:dyDescent="0.3">
      <c r="A2" t="s">
        <v>1</v>
      </c>
      <c r="H2" s="12" t="s">
        <v>2</v>
      </c>
      <c r="I2" s="12"/>
      <c r="J2" s="12"/>
      <c r="K2" s="12"/>
      <c r="L2" s="12"/>
      <c r="M2" s="12"/>
      <c r="N2" s="12"/>
      <c r="O2" s="12"/>
      <c r="P2" s="12"/>
      <c r="Q2" s="12"/>
    </row>
    <row r="3" spans="1:19" x14ac:dyDescent="0.3">
      <c r="A3" t="s">
        <v>3</v>
      </c>
      <c r="B3" t="s">
        <v>4</v>
      </c>
      <c r="C3" t="s">
        <v>5</v>
      </c>
      <c r="D3" t="s">
        <v>6</v>
      </c>
      <c r="E3" t="s">
        <v>3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3</v>
      </c>
      <c r="O3" t="s">
        <v>15</v>
      </c>
      <c r="P3" t="s">
        <v>16</v>
      </c>
      <c r="Q3" t="s">
        <v>17</v>
      </c>
      <c r="R3" t="s">
        <v>18</v>
      </c>
      <c r="S3" t="s">
        <v>19</v>
      </c>
    </row>
    <row r="4" spans="1:19" x14ac:dyDescent="0.3">
      <c r="A4" s="1">
        <v>38036</v>
      </c>
      <c r="B4">
        <v>33</v>
      </c>
      <c r="C4">
        <f>YEAR(A4)</f>
        <v>2004</v>
      </c>
      <c r="D4">
        <f>MONTH(A4)</f>
        <v>2</v>
      </c>
      <c r="E4">
        <f>DAY(A4)</f>
        <v>19</v>
      </c>
      <c r="F4" t="b">
        <f>OR(D4=4, B4&gt;=10)</f>
        <v>1</v>
      </c>
      <c r="G4" t="b">
        <f>AND(D4=4, B4&gt;=10)</f>
        <v>0</v>
      </c>
      <c r="H4" t="str">
        <f>TEXT(A4, "yyyy")</f>
        <v>2004</v>
      </c>
      <c r="I4" t="str">
        <f>TEXT(A4, "yy")</f>
        <v>04</v>
      </c>
      <c r="J4" t="str">
        <f>TEXT(A4, "m")</f>
        <v>2</v>
      </c>
      <c r="K4" t="str">
        <f>TEXT(A4, "mm")</f>
        <v>02</v>
      </c>
      <c r="L4" t="str">
        <f>TEXT(A4, "mmm")</f>
        <v>Feb</v>
      </c>
      <c r="M4" t="str">
        <f>TEXT(A4, "mmmm")</f>
        <v>February</v>
      </c>
      <c r="N4" t="str">
        <f>TEXT($A4, "d")</f>
        <v>19</v>
      </c>
      <c r="O4" t="str">
        <f>TEXT($A4, "dd")</f>
        <v>19</v>
      </c>
      <c r="P4" t="str">
        <f>TEXT($A4, "ddd")</f>
        <v>Thu</v>
      </c>
      <c r="Q4" t="str">
        <f>TEXT($A4, "dddd")</f>
        <v>Thursday</v>
      </c>
      <c r="R4" t="str">
        <f>TEXT(B4, "00")</f>
        <v>33</v>
      </c>
      <c r="S4" t="str">
        <f>TEXT(B4, "000")</f>
        <v>033</v>
      </c>
    </row>
    <row r="5" spans="1:19" x14ac:dyDescent="0.3">
      <c r="A5" s="1">
        <v>39091</v>
      </c>
      <c r="B5">
        <v>9</v>
      </c>
      <c r="C5">
        <f t="shared" ref="C5:C18" si="0">YEAR(A5)</f>
        <v>2007</v>
      </c>
      <c r="D5">
        <f t="shared" ref="D5:D18" si="1">MONTH(A5)</f>
        <v>1</v>
      </c>
      <c r="E5">
        <f t="shared" ref="E5:E18" si="2">DAY(A5)</f>
        <v>9</v>
      </c>
      <c r="F5" t="b">
        <f t="shared" ref="F5:F18" si="3">OR(D5=4, B5&gt;=10)</f>
        <v>0</v>
      </c>
      <c r="G5" t="b">
        <f t="shared" ref="G5:G18" si="4">AND(D5=4, B5&gt;=10)</f>
        <v>0</v>
      </c>
      <c r="H5" t="str">
        <f t="shared" ref="H5:H18" si="5">TEXT(A5, "yyyy")</f>
        <v>2007</v>
      </c>
      <c r="I5" t="str">
        <f t="shared" ref="I5:I18" si="6">TEXT(A5, "y")</f>
        <v>07</v>
      </c>
      <c r="J5" t="str">
        <f t="shared" ref="J5:J18" si="7">TEXT(A5, "m")</f>
        <v>1</v>
      </c>
      <c r="K5" t="str">
        <f t="shared" ref="K5:K18" si="8">TEXT(A5, "mm")</f>
        <v>01</v>
      </c>
      <c r="L5" t="str">
        <f t="shared" ref="L5:L18" si="9">TEXT(A5, "mmm")</f>
        <v>Jan</v>
      </c>
      <c r="M5" t="str">
        <f t="shared" ref="M5:M18" si="10">TEXT(A5, "mmmm")</f>
        <v>January</v>
      </c>
      <c r="N5" t="str">
        <f t="shared" ref="N5:N18" si="11">TEXT($A5, "d")</f>
        <v>9</v>
      </c>
      <c r="O5" t="str">
        <f t="shared" ref="O5:O18" si="12">TEXT($A5, "dd")</f>
        <v>09</v>
      </c>
      <c r="P5" t="str">
        <f t="shared" ref="P5:P18" si="13">TEXT($A5, "ddd")</f>
        <v>Tue</v>
      </c>
      <c r="Q5" t="str">
        <f t="shared" ref="Q5:Q18" si="14">TEXT($A5, "dddd")</f>
        <v>Tuesday</v>
      </c>
      <c r="R5" t="str">
        <f t="shared" ref="R5:R18" si="15">TEXT(B5, "00")</f>
        <v>09</v>
      </c>
      <c r="S5" t="str">
        <f t="shared" ref="S5:S18" si="16">TEXT(B5, "000")</f>
        <v>009</v>
      </c>
    </row>
    <row r="6" spans="1:19" x14ac:dyDescent="0.3">
      <c r="A6" s="1">
        <v>39558</v>
      </c>
      <c r="B6">
        <v>5</v>
      </c>
      <c r="C6">
        <f t="shared" si="0"/>
        <v>2008</v>
      </c>
      <c r="D6">
        <f t="shared" si="1"/>
        <v>4</v>
      </c>
      <c r="E6">
        <f t="shared" si="2"/>
        <v>20</v>
      </c>
      <c r="F6" t="b">
        <f t="shared" si="3"/>
        <v>1</v>
      </c>
      <c r="G6" t="b">
        <f t="shared" si="4"/>
        <v>0</v>
      </c>
      <c r="H6" t="str">
        <f t="shared" si="5"/>
        <v>2008</v>
      </c>
      <c r="I6" t="str">
        <f t="shared" si="6"/>
        <v>08</v>
      </c>
      <c r="J6" t="str">
        <f t="shared" si="7"/>
        <v>4</v>
      </c>
      <c r="K6" t="str">
        <f t="shared" si="8"/>
        <v>04</v>
      </c>
      <c r="L6" t="str">
        <f t="shared" si="9"/>
        <v>Apr</v>
      </c>
      <c r="M6" t="str">
        <f t="shared" si="10"/>
        <v>April</v>
      </c>
      <c r="N6" t="str">
        <f t="shared" si="11"/>
        <v>20</v>
      </c>
      <c r="O6" t="str">
        <f t="shared" si="12"/>
        <v>20</v>
      </c>
      <c r="P6" t="str">
        <f t="shared" si="13"/>
        <v>Sun</v>
      </c>
      <c r="Q6" t="str">
        <f t="shared" si="14"/>
        <v>Sunday</v>
      </c>
      <c r="R6" t="str">
        <f t="shared" si="15"/>
        <v>05</v>
      </c>
      <c r="S6" t="str">
        <f t="shared" si="16"/>
        <v>005</v>
      </c>
    </row>
    <row r="7" spans="1:19" x14ac:dyDescent="0.3">
      <c r="A7" s="1">
        <v>40288</v>
      </c>
      <c r="B7">
        <v>5</v>
      </c>
      <c r="C7">
        <f t="shared" si="0"/>
        <v>2010</v>
      </c>
      <c r="D7">
        <f t="shared" si="1"/>
        <v>4</v>
      </c>
      <c r="E7">
        <f t="shared" si="2"/>
        <v>20</v>
      </c>
      <c r="F7" t="b">
        <f t="shared" si="3"/>
        <v>1</v>
      </c>
      <c r="G7" t="b">
        <f t="shared" si="4"/>
        <v>0</v>
      </c>
      <c r="H7" t="str">
        <f t="shared" si="5"/>
        <v>2010</v>
      </c>
      <c r="I7" t="str">
        <f t="shared" si="6"/>
        <v>10</v>
      </c>
      <c r="J7" t="str">
        <f t="shared" si="7"/>
        <v>4</v>
      </c>
      <c r="K7" t="str">
        <f t="shared" si="8"/>
        <v>04</v>
      </c>
      <c r="L7" t="str">
        <f t="shared" si="9"/>
        <v>Apr</v>
      </c>
      <c r="M7" t="str">
        <f t="shared" si="10"/>
        <v>April</v>
      </c>
      <c r="N7" t="str">
        <f t="shared" si="11"/>
        <v>20</v>
      </c>
      <c r="O7" t="str">
        <f t="shared" si="12"/>
        <v>20</v>
      </c>
      <c r="P7" t="str">
        <f t="shared" si="13"/>
        <v>Tue</v>
      </c>
      <c r="Q7" t="str">
        <f t="shared" si="14"/>
        <v>Tuesday</v>
      </c>
      <c r="R7" t="str">
        <f t="shared" si="15"/>
        <v>05</v>
      </c>
      <c r="S7" t="str">
        <f t="shared" si="16"/>
        <v>005</v>
      </c>
    </row>
    <row r="8" spans="1:19" x14ac:dyDescent="0.3">
      <c r="A8" s="1">
        <v>39924</v>
      </c>
      <c r="B8">
        <v>6</v>
      </c>
      <c r="C8">
        <f t="shared" si="0"/>
        <v>2009</v>
      </c>
      <c r="D8">
        <f t="shared" si="1"/>
        <v>4</v>
      </c>
      <c r="E8">
        <f t="shared" si="2"/>
        <v>21</v>
      </c>
      <c r="F8" t="b">
        <f t="shared" si="3"/>
        <v>1</v>
      </c>
      <c r="G8" t="b">
        <f t="shared" si="4"/>
        <v>0</v>
      </c>
      <c r="H8" t="str">
        <f t="shared" si="5"/>
        <v>2009</v>
      </c>
      <c r="I8" t="str">
        <f t="shared" si="6"/>
        <v>09</v>
      </c>
      <c r="J8" t="str">
        <f t="shared" si="7"/>
        <v>4</v>
      </c>
      <c r="K8" t="str">
        <f t="shared" si="8"/>
        <v>04</v>
      </c>
      <c r="L8" t="str">
        <f t="shared" si="9"/>
        <v>Apr</v>
      </c>
      <c r="M8" t="str">
        <f t="shared" si="10"/>
        <v>April</v>
      </c>
      <c r="N8" t="str">
        <f t="shared" si="11"/>
        <v>21</v>
      </c>
      <c r="O8" t="str">
        <f t="shared" si="12"/>
        <v>21</v>
      </c>
      <c r="P8" t="str">
        <f t="shared" si="13"/>
        <v>Tue</v>
      </c>
      <c r="Q8" t="str">
        <f t="shared" si="14"/>
        <v>Tuesday</v>
      </c>
      <c r="R8" t="str">
        <f t="shared" si="15"/>
        <v>06</v>
      </c>
      <c r="S8" t="str">
        <f t="shared" si="16"/>
        <v>006</v>
      </c>
    </row>
    <row r="9" spans="1:19" x14ac:dyDescent="0.3">
      <c r="A9" s="1">
        <v>38829</v>
      </c>
      <c r="B9">
        <v>9</v>
      </c>
      <c r="C9">
        <f t="shared" si="0"/>
        <v>2006</v>
      </c>
      <c r="D9">
        <f t="shared" si="1"/>
        <v>4</v>
      </c>
      <c r="E9">
        <f t="shared" si="2"/>
        <v>22</v>
      </c>
      <c r="F9" t="b">
        <f t="shared" si="3"/>
        <v>1</v>
      </c>
      <c r="G9" t="b">
        <f t="shared" si="4"/>
        <v>0</v>
      </c>
      <c r="H9" t="str">
        <f t="shared" si="5"/>
        <v>2006</v>
      </c>
      <c r="I9" t="str">
        <f t="shared" si="6"/>
        <v>06</v>
      </c>
      <c r="J9" t="str">
        <f t="shared" si="7"/>
        <v>4</v>
      </c>
      <c r="K9" t="str">
        <f t="shared" si="8"/>
        <v>04</v>
      </c>
      <c r="L9" t="str">
        <f t="shared" si="9"/>
        <v>Apr</v>
      </c>
      <c r="M9" t="str">
        <f t="shared" si="10"/>
        <v>April</v>
      </c>
      <c r="N9" t="str">
        <f t="shared" si="11"/>
        <v>22</v>
      </c>
      <c r="O9" t="str">
        <f t="shared" si="12"/>
        <v>22</v>
      </c>
      <c r="P9" t="str">
        <f t="shared" si="13"/>
        <v>Sat</v>
      </c>
      <c r="Q9" t="str">
        <f t="shared" si="14"/>
        <v>Saturday</v>
      </c>
      <c r="R9" t="str">
        <f t="shared" si="15"/>
        <v>09</v>
      </c>
      <c r="S9" t="str">
        <f t="shared" si="16"/>
        <v>009</v>
      </c>
    </row>
    <row r="10" spans="1:19" x14ac:dyDescent="0.3">
      <c r="A10" s="1">
        <v>39561</v>
      </c>
      <c r="B10">
        <v>6</v>
      </c>
      <c r="C10">
        <f t="shared" si="0"/>
        <v>2008</v>
      </c>
      <c r="D10">
        <f t="shared" si="1"/>
        <v>4</v>
      </c>
      <c r="E10">
        <f t="shared" si="2"/>
        <v>23</v>
      </c>
      <c r="F10" t="b">
        <f t="shared" si="3"/>
        <v>1</v>
      </c>
      <c r="G10" t="b">
        <f t="shared" si="4"/>
        <v>0</v>
      </c>
      <c r="H10" t="str">
        <f t="shared" si="5"/>
        <v>2008</v>
      </c>
      <c r="I10" t="str">
        <f t="shared" si="6"/>
        <v>08</v>
      </c>
      <c r="J10" t="str">
        <f t="shared" si="7"/>
        <v>4</v>
      </c>
      <c r="K10" t="str">
        <f t="shared" si="8"/>
        <v>04</v>
      </c>
      <c r="L10" t="str">
        <f t="shared" si="9"/>
        <v>Apr</v>
      </c>
      <c r="M10" t="str">
        <f t="shared" si="10"/>
        <v>April</v>
      </c>
      <c r="N10" t="str">
        <f t="shared" si="11"/>
        <v>23</v>
      </c>
      <c r="O10" t="str">
        <f t="shared" si="12"/>
        <v>23</v>
      </c>
      <c r="P10" t="str">
        <f t="shared" si="13"/>
        <v>Wed</v>
      </c>
      <c r="Q10" t="str">
        <f t="shared" si="14"/>
        <v>Wednesday</v>
      </c>
      <c r="R10" t="str">
        <f t="shared" si="15"/>
        <v>06</v>
      </c>
      <c r="S10" t="str">
        <f t="shared" si="16"/>
        <v>006</v>
      </c>
    </row>
    <row r="11" spans="1:19" x14ac:dyDescent="0.3">
      <c r="A11" s="1">
        <v>42148</v>
      </c>
      <c r="B11">
        <v>3</v>
      </c>
      <c r="C11">
        <f t="shared" si="0"/>
        <v>2015</v>
      </c>
      <c r="D11">
        <f t="shared" si="1"/>
        <v>5</v>
      </c>
      <c r="E11">
        <f t="shared" si="2"/>
        <v>24</v>
      </c>
      <c r="F11" t="b">
        <f t="shared" si="3"/>
        <v>0</v>
      </c>
      <c r="G11" t="b">
        <f t="shared" si="4"/>
        <v>0</v>
      </c>
      <c r="H11" t="str">
        <f t="shared" si="5"/>
        <v>2015</v>
      </c>
      <c r="I11" t="str">
        <f t="shared" si="6"/>
        <v>15</v>
      </c>
      <c r="J11" t="str">
        <f t="shared" si="7"/>
        <v>5</v>
      </c>
      <c r="K11" t="str">
        <f t="shared" si="8"/>
        <v>05</v>
      </c>
      <c r="L11" t="str">
        <f t="shared" si="9"/>
        <v>May</v>
      </c>
      <c r="M11" t="str">
        <f t="shared" si="10"/>
        <v>May</v>
      </c>
      <c r="N11" t="str">
        <f t="shared" si="11"/>
        <v>24</v>
      </c>
      <c r="O11" t="str">
        <f t="shared" si="12"/>
        <v>24</v>
      </c>
      <c r="P11" t="str">
        <f t="shared" si="13"/>
        <v>Sun</v>
      </c>
      <c r="Q11" t="str">
        <f t="shared" si="14"/>
        <v>Sunday</v>
      </c>
      <c r="R11" t="str">
        <f t="shared" si="15"/>
        <v>03</v>
      </c>
      <c r="S11" t="str">
        <f t="shared" si="16"/>
        <v>003</v>
      </c>
    </row>
    <row r="12" spans="1:19" x14ac:dyDescent="0.3">
      <c r="A12" s="1">
        <v>39807</v>
      </c>
      <c r="B12">
        <v>66</v>
      </c>
      <c r="C12">
        <f t="shared" si="0"/>
        <v>2008</v>
      </c>
      <c r="D12">
        <f t="shared" si="1"/>
        <v>12</v>
      </c>
      <c r="E12">
        <f t="shared" si="2"/>
        <v>25</v>
      </c>
      <c r="F12" t="b">
        <f t="shared" si="3"/>
        <v>1</v>
      </c>
      <c r="G12" t="b">
        <f t="shared" si="4"/>
        <v>0</v>
      </c>
      <c r="H12" t="str">
        <f t="shared" si="5"/>
        <v>2008</v>
      </c>
      <c r="I12" t="str">
        <f t="shared" si="6"/>
        <v>08</v>
      </c>
      <c r="J12" t="str">
        <f t="shared" si="7"/>
        <v>12</v>
      </c>
      <c r="K12" t="str">
        <f t="shared" si="8"/>
        <v>12</v>
      </c>
      <c r="L12" t="str">
        <f t="shared" si="9"/>
        <v>Dec</v>
      </c>
      <c r="M12" t="str">
        <f t="shared" si="10"/>
        <v>December</v>
      </c>
      <c r="N12" t="str">
        <f t="shared" si="11"/>
        <v>25</v>
      </c>
      <c r="O12" t="str">
        <f t="shared" si="12"/>
        <v>25</v>
      </c>
      <c r="P12" t="str">
        <f t="shared" si="13"/>
        <v>Thu</v>
      </c>
      <c r="Q12" t="str">
        <f t="shared" si="14"/>
        <v>Thursday</v>
      </c>
      <c r="R12" t="str">
        <f t="shared" si="15"/>
        <v>66</v>
      </c>
      <c r="S12" t="str">
        <f t="shared" si="16"/>
        <v>066</v>
      </c>
    </row>
    <row r="13" spans="1:19" x14ac:dyDescent="0.3">
      <c r="A13" s="1">
        <v>39655</v>
      </c>
      <c r="B13">
        <v>7</v>
      </c>
      <c r="C13">
        <f t="shared" si="0"/>
        <v>2008</v>
      </c>
      <c r="D13">
        <f t="shared" si="1"/>
        <v>7</v>
      </c>
      <c r="E13">
        <f t="shared" si="2"/>
        <v>26</v>
      </c>
      <c r="F13" t="b">
        <f t="shared" si="3"/>
        <v>0</v>
      </c>
      <c r="G13" t="b">
        <f t="shared" si="4"/>
        <v>0</v>
      </c>
      <c r="H13" t="str">
        <f t="shared" si="5"/>
        <v>2008</v>
      </c>
      <c r="I13" t="str">
        <f t="shared" si="6"/>
        <v>08</v>
      </c>
      <c r="J13" t="str">
        <f t="shared" si="7"/>
        <v>7</v>
      </c>
      <c r="K13" t="str">
        <f t="shared" si="8"/>
        <v>07</v>
      </c>
      <c r="L13" t="str">
        <f t="shared" si="9"/>
        <v>Jul</v>
      </c>
      <c r="M13" t="str">
        <f t="shared" si="10"/>
        <v>July</v>
      </c>
      <c r="N13" t="str">
        <f t="shared" si="11"/>
        <v>26</v>
      </c>
      <c r="O13" t="str">
        <f t="shared" si="12"/>
        <v>26</v>
      </c>
      <c r="P13" t="str">
        <f t="shared" si="13"/>
        <v>Sat</v>
      </c>
      <c r="Q13" t="str">
        <f t="shared" si="14"/>
        <v>Saturday</v>
      </c>
      <c r="R13" t="str">
        <f t="shared" si="15"/>
        <v>07</v>
      </c>
      <c r="S13" t="str">
        <f t="shared" si="16"/>
        <v>007</v>
      </c>
    </row>
    <row r="14" spans="1:19" x14ac:dyDescent="0.3">
      <c r="A14" s="1">
        <v>39564</v>
      </c>
      <c r="B14">
        <v>15</v>
      </c>
      <c r="C14">
        <f t="shared" si="0"/>
        <v>2008</v>
      </c>
      <c r="D14">
        <f t="shared" si="1"/>
        <v>4</v>
      </c>
      <c r="E14">
        <f t="shared" si="2"/>
        <v>26</v>
      </c>
      <c r="F14" t="b">
        <f t="shared" si="3"/>
        <v>1</v>
      </c>
      <c r="G14" t="b">
        <f t="shared" si="4"/>
        <v>1</v>
      </c>
      <c r="H14" t="str">
        <f t="shared" si="5"/>
        <v>2008</v>
      </c>
      <c r="I14" t="str">
        <f t="shared" si="6"/>
        <v>08</v>
      </c>
      <c r="J14" t="str">
        <f t="shared" si="7"/>
        <v>4</v>
      </c>
      <c r="K14" t="str">
        <f t="shared" si="8"/>
        <v>04</v>
      </c>
      <c r="L14" t="str">
        <f t="shared" si="9"/>
        <v>Apr</v>
      </c>
      <c r="M14" t="str">
        <f t="shared" si="10"/>
        <v>April</v>
      </c>
      <c r="N14" t="str">
        <f t="shared" si="11"/>
        <v>26</v>
      </c>
      <c r="O14" t="str">
        <f t="shared" si="12"/>
        <v>26</v>
      </c>
      <c r="P14" t="str">
        <f t="shared" si="13"/>
        <v>Sat</v>
      </c>
      <c r="Q14" t="str">
        <f t="shared" si="14"/>
        <v>Saturday</v>
      </c>
      <c r="R14" t="str">
        <f t="shared" si="15"/>
        <v>15</v>
      </c>
      <c r="S14" t="str">
        <f t="shared" si="16"/>
        <v>015</v>
      </c>
    </row>
    <row r="15" spans="1:19" x14ac:dyDescent="0.3">
      <c r="A15" s="1">
        <v>39809</v>
      </c>
      <c r="B15">
        <v>10</v>
      </c>
      <c r="C15">
        <f t="shared" si="0"/>
        <v>2008</v>
      </c>
      <c r="D15">
        <f t="shared" si="1"/>
        <v>12</v>
      </c>
      <c r="E15">
        <f t="shared" si="2"/>
        <v>27</v>
      </c>
      <c r="F15" t="b">
        <f t="shared" si="3"/>
        <v>1</v>
      </c>
      <c r="G15" t="b">
        <f t="shared" si="4"/>
        <v>0</v>
      </c>
      <c r="H15" t="str">
        <f t="shared" si="5"/>
        <v>2008</v>
      </c>
      <c r="I15" t="str">
        <f t="shared" si="6"/>
        <v>08</v>
      </c>
      <c r="J15" t="str">
        <f t="shared" si="7"/>
        <v>12</v>
      </c>
      <c r="K15" t="str">
        <f t="shared" si="8"/>
        <v>12</v>
      </c>
      <c r="L15" t="str">
        <f t="shared" si="9"/>
        <v>Dec</v>
      </c>
      <c r="M15" t="str">
        <f t="shared" si="10"/>
        <v>December</v>
      </c>
      <c r="N15" t="str">
        <f t="shared" si="11"/>
        <v>27</v>
      </c>
      <c r="O15" t="str">
        <f t="shared" si="12"/>
        <v>27</v>
      </c>
      <c r="P15" t="str">
        <f t="shared" si="13"/>
        <v>Sat</v>
      </c>
      <c r="Q15" t="str">
        <f t="shared" si="14"/>
        <v>Saturday</v>
      </c>
      <c r="R15" t="str">
        <f t="shared" si="15"/>
        <v>10</v>
      </c>
      <c r="S15" t="str">
        <f t="shared" si="16"/>
        <v>010</v>
      </c>
    </row>
    <row r="16" spans="1:19" x14ac:dyDescent="0.3">
      <c r="A16" s="1">
        <v>39718</v>
      </c>
      <c r="B16">
        <v>4</v>
      </c>
      <c r="C16">
        <f t="shared" si="0"/>
        <v>2008</v>
      </c>
      <c r="D16">
        <f t="shared" si="1"/>
        <v>9</v>
      </c>
      <c r="E16">
        <f t="shared" si="2"/>
        <v>27</v>
      </c>
      <c r="F16" t="b">
        <f t="shared" si="3"/>
        <v>0</v>
      </c>
      <c r="G16" t="b">
        <f t="shared" si="4"/>
        <v>0</v>
      </c>
      <c r="H16" t="str">
        <f t="shared" si="5"/>
        <v>2008</v>
      </c>
      <c r="I16" t="str">
        <f t="shared" si="6"/>
        <v>08</v>
      </c>
      <c r="J16" t="str">
        <f t="shared" si="7"/>
        <v>9</v>
      </c>
      <c r="K16" t="str">
        <f t="shared" si="8"/>
        <v>09</v>
      </c>
      <c r="L16" t="str">
        <f t="shared" si="9"/>
        <v>Sep</v>
      </c>
      <c r="M16" t="str">
        <f t="shared" si="10"/>
        <v>September</v>
      </c>
      <c r="N16" t="str">
        <f t="shared" si="11"/>
        <v>27</v>
      </c>
      <c r="O16" t="str">
        <f t="shared" si="12"/>
        <v>27</v>
      </c>
      <c r="P16" t="str">
        <f t="shared" si="13"/>
        <v>Sat</v>
      </c>
      <c r="Q16" t="str">
        <f t="shared" si="14"/>
        <v>Saturday</v>
      </c>
      <c r="R16" t="str">
        <f t="shared" si="15"/>
        <v>04</v>
      </c>
      <c r="S16" t="str">
        <f t="shared" si="16"/>
        <v>004</v>
      </c>
    </row>
    <row r="17" spans="1:19" x14ac:dyDescent="0.3">
      <c r="A17" s="1">
        <v>39688</v>
      </c>
      <c r="B17">
        <v>13</v>
      </c>
      <c r="C17">
        <f t="shared" si="0"/>
        <v>2008</v>
      </c>
      <c r="D17">
        <f t="shared" si="1"/>
        <v>8</v>
      </c>
      <c r="E17">
        <f t="shared" si="2"/>
        <v>28</v>
      </c>
      <c r="F17" t="b">
        <f t="shared" si="3"/>
        <v>1</v>
      </c>
      <c r="G17" t="b">
        <f t="shared" si="4"/>
        <v>0</v>
      </c>
      <c r="H17" t="str">
        <f t="shared" si="5"/>
        <v>2008</v>
      </c>
      <c r="I17" t="str">
        <f t="shared" si="6"/>
        <v>08</v>
      </c>
      <c r="J17" t="str">
        <f t="shared" si="7"/>
        <v>8</v>
      </c>
      <c r="K17" t="str">
        <f t="shared" si="8"/>
        <v>08</v>
      </c>
      <c r="L17" t="str">
        <f t="shared" si="9"/>
        <v>Aug</v>
      </c>
      <c r="M17" t="str">
        <f t="shared" si="10"/>
        <v>August</v>
      </c>
      <c r="N17" t="str">
        <f t="shared" si="11"/>
        <v>28</v>
      </c>
      <c r="O17" t="str">
        <f t="shared" si="12"/>
        <v>28</v>
      </c>
      <c r="P17" t="str">
        <f t="shared" si="13"/>
        <v>Thu</v>
      </c>
      <c r="Q17" t="str">
        <f t="shared" si="14"/>
        <v>Thursday</v>
      </c>
      <c r="R17" t="str">
        <f t="shared" si="15"/>
        <v>13</v>
      </c>
      <c r="S17" t="str">
        <f t="shared" si="16"/>
        <v>013</v>
      </c>
    </row>
    <row r="18" spans="1:19" x14ac:dyDescent="0.3">
      <c r="A18" s="1">
        <v>39507</v>
      </c>
      <c r="B18">
        <v>7</v>
      </c>
      <c r="C18">
        <f t="shared" si="0"/>
        <v>2008</v>
      </c>
      <c r="D18">
        <f t="shared" si="1"/>
        <v>2</v>
      </c>
      <c r="E18">
        <f t="shared" si="2"/>
        <v>29</v>
      </c>
      <c r="F18" t="b">
        <f t="shared" si="3"/>
        <v>0</v>
      </c>
      <c r="G18" t="b">
        <f t="shared" si="4"/>
        <v>0</v>
      </c>
      <c r="H18" t="str">
        <f t="shared" si="5"/>
        <v>2008</v>
      </c>
      <c r="I18" t="str">
        <f t="shared" si="6"/>
        <v>08</v>
      </c>
      <c r="J18" t="str">
        <f t="shared" si="7"/>
        <v>2</v>
      </c>
      <c r="K18" t="str">
        <f t="shared" si="8"/>
        <v>02</v>
      </c>
      <c r="L18" t="str">
        <f t="shared" si="9"/>
        <v>Feb</v>
      </c>
      <c r="M18" t="str">
        <f t="shared" si="10"/>
        <v>February</v>
      </c>
      <c r="N18" t="str">
        <f t="shared" si="11"/>
        <v>29</v>
      </c>
      <c r="O18" t="str">
        <f t="shared" si="12"/>
        <v>29</v>
      </c>
      <c r="P18" t="str">
        <f t="shared" si="13"/>
        <v>Fri</v>
      </c>
      <c r="Q18" t="str">
        <f t="shared" si="14"/>
        <v>Friday</v>
      </c>
      <c r="R18" t="str">
        <f t="shared" si="15"/>
        <v>07</v>
      </c>
      <c r="S18" t="str">
        <f t="shared" si="16"/>
        <v>007</v>
      </c>
    </row>
    <row r="19" spans="1:19" x14ac:dyDescent="0.3">
      <c r="A19" s="1"/>
    </row>
    <row r="21" spans="1:19" x14ac:dyDescent="0.3">
      <c r="A21" s="2"/>
    </row>
    <row r="22" spans="1:19" x14ac:dyDescent="0.3">
      <c r="B22" t="s">
        <v>20</v>
      </c>
      <c r="C22">
        <v>24</v>
      </c>
      <c r="F22" s="3">
        <v>45580</v>
      </c>
      <c r="H22" t="s">
        <v>21</v>
      </c>
    </row>
    <row r="23" spans="1:19" x14ac:dyDescent="0.3">
      <c r="B23" t="s">
        <v>22</v>
      </c>
      <c r="C23" t="str">
        <f>IF(AND(C22&gt;=30, C22&lt;=40), "Yes", "No")</f>
        <v>No</v>
      </c>
      <c r="F23">
        <f>YEAR(F22)</f>
        <v>2024</v>
      </c>
      <c r="H23" s="4">
        <f>DATE(2025, 4, 16)</f>
        <v>45763</v>
      </c>
    </row>
    <row r="24" spans="1:19" x14ac:dyDescent="0.3">
      <c r="B24" t="s">
        <v>23</v>
      </c>
      <c r="C24" t="str">
        <f>IF(NOT(AND(C22&gt;=10, C22&lt;=20)), "Yes", "No")</f>
        <v>Yes</v>
      </c>
    </row>
    <row r="25" spans="1:19" x14ac:dyDescent="0.3">
      <c r="C25">
        <v>5</v>
      </c>
      <c r="D25" t="s">
        <v>24</v>
      </c>
      <c r="E25" t="b">
        <v>1</v>
      </c>
    </row>
    <row r="26" spans="1:19" x14ac:dyDescent="0.3">
      <c r="A26" s="2"/>
      <c r="C26">
        <v>24</v>
      </c>
      <c r="D26" t="s">
        <v>24</v>
      </c>
      <c r="E26" t="b">
        <v>1</v>
      </c>
    </row>
    <row r="27" spans="1:19" x14ac:dyDescent="0.3">
      <c r="C27">
        <v>12</v>
      </c>
      <c r="D27" t="s">
        <v>25</v>
      </c>
      <c r="E27" t="b">
        <v>0</v>
      </c>
    </row>
  </sheetData>
  <mergeCells count="1">
    <mergeCell ref="H2:Q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8E2A1-E432-4749-82C7-3EF86909763D}">
  <dimension ref="B2:E9"/>
  <sheetViews>
    <sheetView workbookViewId="0">
      <selection activeCell="D8" sqref="D8"/>
    </sheetView>
  </sheetViews>
  <sheetFormatPr defaultRowHeight="14.4" x14ac:dyDescent="0.3"/>
  <cols>
    <col min="2" max="2" width="5.21875" customWidth="1"/>
    <col min="3" max="4" width="11.109375" customWidth="1"/>
    <col min="5" max="5" width="5.44140625" customWidth="1"/>
  </cols>
  <sheetData>
    <row r="2" spans="2:5" x14ac:dyDescent="0.3">
      <c r="B2" s="5"/>
      <c r="C2" s="5"/>
      <c r="D2" s="5"/>
      <c r="E2" s="5"/>
    </row>
    <row r="3" spans="2:5" x14ac:dyDescent="0.3">
      <c r="B3" s="5"/>
      <c r="C3" s="5" t="s">
        <v>26</v>
      </c>
      <c r="D3" s="6">
        <v>2</v>
      </c>
      <c r="E3" s="5"/>
    </row>
    <row r="4" spans="2:5" x14ac:dyDescent="0.3">
      <c r="B4" s="5"/>
      <c r="C4" s="5" t="s">
        <v>31</v>
      </c>
      <c r="D4" s="6">
        <v>12500</v>
      </c>
      <c r="E4" s="5"/>
    </row>
    <row r="5" spans="2:5" x14ac:dyDescent="0.3">
      <c r="B5" s="5"/>
      <c r="C5" s="5" t="s">
        <v>27</v>
      </c>
      <c r="D5" s="6">
        <f>D3*D4</f>
        <v>25000</v>
      </c>
      <c r="E5" s="5"/>
    </row>
    <row r="6" spans="2:5" x14ac:dyDescent="0.3">
      <c r="B6" s="5"/>
      <c r="C6" s="5" t="s">
        <v>29</v>
      </c>
      <c r="D6" s="6"/>
      <c r="E6" s="5"/>
    </row>
    <row r="7" spans="2:5" x14ac:dyDescent="0.3">
      <c r="B7" s="5"/>
      <c r="C7" s="5" t="s">
        <v>28</v>
      </c>
      <c r="D7" s="6" t="s">
        <v>32</v>
      </c>
      <c r="E7" s="5"/>
    </row>
    <row r="8" spans="2:5" x14ac:dyDescent="0.3">
      <c r="B8" s="5"/>
      <c r="C8" s="5" t="s">
        <v>30</v>
      </c>
      <c r="D8" s="6"/>
      <c r="E8" s="5"/>
    </row>
    <row r="9" spans="2:5" x14ac:dyDescent="0.3">
      <c r="B9" s="5"/>
      <c r="C9" s="5"/>
      <c r="D9" s="5"/>
      <c r="E9" s="5"/>
    </row>
  </sheetData>
  <dataValidations count="4">
    <dataValidation type="whole" operator="greaterThanOrEqual" allowBlank="1" showInputMessage="1" showErrorMessage="1" errorTitle="Positive Integers Only!" error="Quantity can neither be in decimal nor can be negative..." sqref="D3" xr:uid="{1F8F5F4D-7E44-4F43-8C55-048A0C4CC8DE}">
      <formula1>0</formula1>
    </dataValidation>
    <dataValidation type="decimal" operator="greaterThan" allowBlank="1" showInputMessage="1" showErrorMessage="1" errorTitle="Positive Integers Only!" error="Quantity can neither be in decimal nor can be negative..." promptTitle="Important!" prompt="Please enter positive numbers only..." sqref="D4" xr:uid="{C829FBCE-DC24-4867-B41E-E60D4600FEE7}">
      <formula1>0</formula1>
    </dataValidation>
    <dataValidation type="date" operator="greaterThan" allowBlank="1" showInputMessage="1" showErrorMessage="1" sqref="D6" xr:uid="{C8480D35-C07E-42BF-BE05-E9E41E2C93DB}">
      <formula1>1</formula1>
    </dataValidation>
    <dataValidation type="list" allowBlank="1" showInputMessage="1" showErrorMessage="1" sqref="D7" xr:uid="{AA875F7A-5040-436F-914E-10423A148964}">
      <formula1>"Mon, Tue, Wed, Thu, Fri, Sat, Sun"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1D4C079-4ADC-443F-A647-E49A519AF971}">
          <x14:formula1>
            <xm:f>Datefunc!$A$3:$S$3</xm:f>
          </x14:formula1>
          <xm:sqref>D8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F2C18-0A2A-4AD3-AE21-DB6D12836E2B}">
  <dimension ref="A1:F7"/>
  <sheetViews>
    <sheetView workbookViewId="0">
      <selection activeCell="D1" sqref="D1:D1048576"/>
    </sheetView>
  </sheetViews>
  <sheetFormatPr defaultRowHeight="14.4" x14ac:dyDescent="0.3"/>
  <cols>
    <col min="2" max="2" width="10.6640625" bestFit="1" customWidth="1"/>
    <col min="3" max="3" width="9.77734375" bestFit="1" customWidth="1"/>
    <col min="4" max="4" width="11.33203125" bestFit="1" customWidth="1"/>
    <col min="5" max="5" width="14.21875" bestFit="1" customWidth="1"/>
    <col min="6" max="6" width="13.88671875" bestFit="1" customWidth="1"/>
  </cols>
  <sheetData>
    <row r="1" spans="1:6" x14ac:dyDescent="0.3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</row>
    <row r="2" spans="1:6" x14ac:dyDescent="0.3">
      <c r="A2">
        <v>79</v>
      </c>
      <c r="B2" t="s">
        <v>39</v>
      </c>
      <c r="C2">
        <v>86</v>
      </c>
      <c r="D2">
        <v>68.7</v>
      </c>
      <c r="E2">
        <v>18000</v>
      </c>
      <c r="F2">
        <v>110</v>
      </c>
    </row>
    <row r="3" spans="1:6" x14ac:dyDescent="0.3">
      <c r="A3">
        <v>261</v>
      </c>
      <c r="B3" t="s">
        <v>40</v>
      </c>
      <c r="C3">
        <v>80</v>
      </c>
      <c r="D3">
        <v>60.5</v>
      </c>
      <c r="E3">
        <v>21000</v>
      </c>
      <c r="F3">
        <v>98</v>
      </c>
    </row>
    <row r="4" spans="1:6" x14ac:dyDescent="0.3">
      <c r="A4">
        <v>2766</v>
      </c>
      <c r="B4" t="s">
        <v>41</v>
      </c>
      <c r="C4">
        <v>13</v>
      </c>
      <c r="D4">
        <v>72.3</v>
      </c>
      <c r="E4">
        <v>10000</v>
      </c>
      <c r="F4">
        <v>15</v>
      </c>
    </row>
    <row r="5" spans="1:6" x14ac:dyDescent="0.3">
      <c r="A5">
        <v>281</v>
      </c>
      <c r="B5" t="s">
        <v>42</v>
      </c>
      <c r="C5">
        <v>46</v>
      </c>
      <c r="D5">
        <v>52.2</v>
      </c>
      <c r="E5">
        <v>14000</v>
      </c>
      <c r="F5">
        <v>45</v>
      </c>
    </row>
    <row r="6" spans="1:6" x14ac:dyDescent="0.3">
      <c r="A6">
        <v>2744</v>
      </c>
      <c r="B6" t="s">
        <v>43</v>
      </c>
      <c r="C6">
        <v>2</v>
      </c>
      <c r="D6">
        <v>68.8</v>
      </c>
      <c r="E6">
        <v>8500</v>
      </c>
      <c r="F6">
        <v>8</v>
      </c>
    </row>
    <row r="7" spans="1:6" x14ac:dyDescent="0.3">
      <c r="A7">
        <v>2742</v>
      </c>
      <c r="B7" t="s">
        <v>44</v>
      </c>
      <c r="C7">
        <v>1.5</v>
      </c>
      <c r="D7">
        <v>64.900000000000006</v>
      </c>
      <c r="E7">
        <v>9600</v>
      </c>
      <c r="F7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554B1-60CE-40AF-9F75-F9A5813253FE}">
  <dimension ref="A1:F30"/>
  <sheetViews>
    <sheetView tabSelected="1" workbookViewId="0">
      <selection activeCell="G4" sqref="G4"/>
    </sheetView>
  </sheetViews>
  <sheetFormatPr defaultRowHeight="14.4" x14ac:dyDescent="0.3"/>
  <cols>
    <col min="1" max="1" width="23.21875" bestFit="1" customWidth="1"/>
    <col min="2" max="3" width="16" bestFit="1" customWidth="1"/>
    <col min="4" max="4" width="13.21875" bestFit="1" customWidth="1"/>
    <col min="5" max="5" width="13.88671875" bestFit="1" customWidth="1"/>
    <col min="7" max="7" width="12.21875" bestFit="1" customWidth="1"/>
  </cols>
  <sheetData>
    <row r="1" spans="1:6" x14ac:dyDescent="0.3">
      <c r="A1" t="s">
        <v>34</v>
      </c>
      <c r="B1" t="s">
        <v>45</v>
      </c>
      <c r="C1" t="s">
        <v>36</v>
      </c>
      <c r="D1" t="s">
        <v>35</v>
      </c>
      <c r="E1" t="s">
        <v>38</v>
      </c>
      <c r="F1" t="s">
        <v>62</v>
      </c>
    </row>
    <row r="2" spans="1:6" x14ac:dyDescent="0.3">
      <c r="A2" t="s">
        <v>39</v>
      </c>
      <c r="B2">
        <v>2590</v>
      </c>
      <c r="C2">
        <f>VLOOKUP(A2, Population!$B$1:$F$7, 3, FALSE)</f>
        <v>68.7</v>
      </c>
      <c r="D2">
        <f>VLOOKUP(A2, Population!$B$2:$F$7, 2, FALSE)</f>
        <v>86</v>
      </c>
      <c r="E2">
        <f>VLOOKUP(A2, Population!$B$2:$F$7, 5, FALSE)</f>
        <v>110</v>
      </c>
      <c r="F2">
        <f>INDEX(Population!$A$2:$A$7, MATCH('Per Capita Income'!A2, Population!$B$2:$B$7, 0))</f>
        <v>79</v>
      </c>
    </row>
    <row r="3" spans="1:6" x14ac:dyDescent="0.3">
      <c r="A3" t="s">
        <v>43</v>
      </c>
      <c r="B3">
        <v>3196</v>
      </c>
      <c r="C3">
        <f>VLOOKUP(A3, Population!$B$1:$F$7, 3, FALSE)</f>
        <v>68.8</v>
      </c>
      <c r="D3">
        <f>VLOOKUP(A3, Population!$B$2:$F$7, 2, FALSE)</f>
        <v>2</v>
      </c>
      <c r="E3">
        <f>VLOOKUP(A3, Population!$B$2:$F$7, 5, FALSE)</f>
        <v>8</v>
      </c>
      <c r="F3">
        <f>INDEX(Population!$A$2:$A$7, MATCH('Per Capita Income'!A3, Population!$B$2:$B$7, 0))</f>
        <v>2744</v>
      </c>
    </row>
    <row r="4" spans="1:6" x14ac:dyDescent="0.3">
      <c r="A4" t="s">
        <v>44</v>
      </c>
      <c r="B4">
        <v>2400</v>
      </c>
      <c r="C4">
        <f>VLOOKUP(A4, Population!$B$1:$F$7, 3, FALSE)</f>
        <v>64.900000000000006</v>
      </c>
      <c r="D4">
        <f>VLOOKUP(A4, Population!$B$2:$F$7, 2, FALSE)</f>
        <v>1.5</v>
      </c>
      <c r="E4">
        <f>VLOOKUP(A4, Population!$B$2:$F$7, 5, FALSE)</f>
        <v>20</v>
      </c>
      <c r="F4">
        <f>INDEX(Population!$A$2:$A$7, MATCH('Per Capita Income'!A4, Population!$B$2:$B$7, 0))</f>
        <v>2742</v>
      </c>
    </row>
    <row r="5" spans="1:6" x14ac:dyDescent="0.3">
      <c r="A5" t="s">
        <v>41</v>
      </c>
      <c r="B5">
        <v>2530</v>
      </c>
      <c r="C5">
        <f>VLOOKUP(A5, Population!$B$1:$F$7, 3, FALSE)</f>
        <v>72.3</v>
      </c>
      <c r="D5">
        <f>VLOOKUP(A5, Population!$B$2:$F$7, 2, FALSE)</f>
        <v>13</v>
      </c>
      <c r="E5">
        <f>VLOOKUP(A5, Population!$B$2:$F$7, 5, FALSE)</f>
        <v>15</v>
      </c>
      <c r="F5">
        <f>INDEX(Population!$A$2:$A$7, MATCH('Per Capita Income'!A5, Population!$B$2:$B$7, 0))</f>
        <v>2766</v>
      </c>
    </row>
    <row r="6" spans="1:6" x14ac:dyDescent="0.3">
      <c r="A6" t="s">
        <v>42</v>
      </c>
      <c r="B6">
        <v>2900</v>
      </c>
      <c r="C6">
        <f>VLOOKUP(A6, Population!$B$1:$F$7, 3, FALSE)</f>
        <v>52.2</v>
      </c>
      <c r="D6">
        <f>VLOOKUP(A6, Population!$B$2:$F$7, 2, FALSE)</f>
        <v>46</v>
      </c>
      <c r="E6">
        <f>VLOOKUP(A6, Population!$B$2:$F$7, 5, FALSE)</f>
        <v>45</v>
      </c>
      <c r="F6">
        <f>INDEX(Population!$A$2:$A$7, MATCH('Per Capita Income'!A6, Population!$B$2:$B$7, 0))</f>
        <v>281</v>
      </c>
    </row>
    <row r="7" spans="1:6" x14ac:dyDescent="0.3">
      <c r="A7" t="s">
        <v>40</v>
      </c>
      <c r="B7">
        <v>2850</v>
      </c>
      <c r="C7">
        <f>VLOOKUP(A7, Population!$B$1:$F$7, 3, FALSE)</f>
        <v>60.5</v>
      </c>
      <c r="D7">
        <f>VLOOKUP(A7, Population!$B$2:$F$7, 2, FALSE)</f>
        <v>80</v>
      </c>
      <c r="E7">
        <f>VLOOKUP(A7, Population!$B$2:$F$7, 5, FALSE)</f>
        <v>98</v>
      </c>
      <c r="F7">
        <f>INDEX(Population!$A$2:$A$7, MATCH('Per Capita Income'!A7, Population!$B$2:$B$7, 0))</f>
        <v>261</v>
      </c>
    </row>
    <row r="11" spans="1:6" x14ac:dyDescent="0.3">
      <c r="A11" s="13" t="s">
        <v>46</v>
      </c>
      <c r="B11" s="13"/>
      <c r="D11" s="13" t="s">
        <v>47</v>
      </c>
      <c r="E11" s="13"/>
    </row>
    <row r="15" spans="1:6" x14ac:dyDescent="0.3">
      <c r="A15" t="s">
        <v>48</v>
      </c>
      <c r="B15" t="s">
        <v>39</v>
      </c>
      <c r="D15" t="s">
        <v>49</v>
      </c>
      <c r="E15">
        <v>4</v>
      </c>
    </row>
    <row r="16" spans="1:6" x14ac:dyDescent="0.3">
      <c r="A16" t="s">
        <v>50</v>
      </c>
      <c r="B16">
        <f>MATCH(B15, A1:A7, 0)</f>
        <v>2</v>
      </c>
      <c r="D16" t="s">
        <v>34</v>
      </c>
      <c r="E16" t="str">
        <f>INDEX(A1:A7, E15)</f>
        <v>Palanpur</v>
      </c>
    </row>
    <row r="17" spans="1:6" x14ac:dyDescent="0.3">
      <c r="A17" t="s">
        <v>57</v>
      </c>
      <c r="B17">
        <f>MATCH(B15,A2:A7, 0)</f>
        <v>1</v>
      </c>
    </row>
    <row r="18" spans="1:6" x14ac:dyDescent="0.3">
      <c r="D18" t="s">
        <v>51</v>
      </c>
      <c r="E18">
        <v>3</v>
      </c>
    </row>
    <row r="19" spans="1:6" x14ac:dyDescent="0.3">
      <c r="A19" t="s">
        <v>35</v>
      </c>
      <c r="B19">
        <v>86</v>
      </c>
      <c r="D19" t="s">
        <v>52</v>
      </c>
      <c r="E19">
        <v>4</v>
      </c>
    </row>
    <row r="20" spans="1:6" x14ac:dyDescent="0.3">
      <c r="A20" t="s">
        <v>58</v>
      </c>
      <c r="B20" t="e">
        <f>MATCH(B19,A1:D7, 0)</f>
        <v>#N/A</v>
      </c>
      <c r="D20" t="s">
        <v>53</v>
      </c>
      <c r="E20">
        <f>INDEX(A2:E7, E18, E19)</f>
        <v>1.5</v>
      </c>
    </row>
    <row r="22" spans="1:6" x14ac:dyDescent="0.3">
      <c r="A22" t="s">
        <v>55</v>
      </c>
      <c r="B22" t="s">
        <v>33</v>
      </c>
    </row>
    <row r="23" spans="1:6" x14ac:dyDescent="0.3">
      <c r="A23" t="s">
        <v>59</v>
      </c>
      <c r="B23" t="e">
        <f>MATCH(B22, A1:F1, 0)</f>
        <v>#N/A</v>
      </c>
    </row>
    <row r="25" spans="1:6" x14ac:dyDescent="0.3">
      <c r="A25" s="7"/>
      <c r="B25" s="7"/>
      <c r="C25" s="7"/>
      <c r="D25" s="7"/>
    </row>
    <row r="26" spans="1:6" x14ac:dyDescent="0.3">
      <c r="A26" s="7"/>
      <c r="B26" s="7" t="s">
        <v>54</v>
      </c>
      <c r="C26" s="8" t="s">
        <v>41</v>
      </c>
      <c r="D26" s="7"/>
      <c r="E26" t="s">
        <v>60</v>
      </c>
      <c r="F26" s="9">
        <f>MATCH(C26, A2:A7, 0)</f>
        <v>4</v>
      </c>
    </row>
    <row r="27" spans="1:6" x14ac:dyDescent="0.3">
      <c r="A27" s="7"/>
      <c r="B27" s="7" t="s">
        <v>55</v>
      </c>
      <c r="C27" s="10" t="s">
        <v>45</v>
      </c>
      <c r="D27" s="7"/>
      <c r="E27" t="s">
        <v>61</v>
      </c>
      <c r="F27" s="9">
        <f>MATCH(C27, A1:F1, 0)</f>
        <v>2</v>
      </c>
    </row>
    <row r="28" spans="1:6" x14ac:dyDescent="0.3">
      <c r="A28" s="7"/>
      <c r="B28" s="7" t="s">
        <v>53</v>
      </c>
      <c r="C28" s="10">
        <f>INDEX(A2:F7, F26, F27)</f>
        <v>2530</v>
      </c>
      <c r="D28" s="7"/>
    </row>
    <row r="29" spans="1:6" x14ac:dyDescent="0.3">
      <c r="A29" s="7"/>
      <c r="B29" s="7" t="s">
        <v>56</v>
      </c>
      <c r="C29" s="11">
        <f>INDEX(A2:F7, MATCH(C26, A2:A7, 0), MATCH(C27, A1:F1, 0))</f>
        <v>2530</v>
      </c>
      <c r="D29" s="7"/>
    </row>
    <row r="30" spans="1:6" x14ac:dyDescent="0.3">
      <c r="A30" s="7"/>
      <c r="B30" s="7"/>
      <c r="C30" s="7"/>
      <c r="D30" s="7"/>
    </row>
  </sheetData>
  <mergeCells count="2">
    <mergeCell ref="A11:B11"/>
    <mergeCell ref="D11:E11"/>
  </mergeCells>
  <dataValidations count="3">
    <dataValidation type="list" allowBlank="1" showInputMessage="1" showErrorMessage="1" sqref="B22 C27" xr:uid="{39C3B219-CA26-4632-A4F8-83AAE9224676}">
      <formula1>$A$1:$F$1</formula1>
    </dataValidation>
    <dataValidation type="list" allowBlank="1" showInputMessage="1" showErrorMessage="1" sqref="E15" xr:uid="{04801A22-C4F5-487E-8AF7-7ABB531D9B82}">
      <formula1>"1,2,3,4,5,6"</formula1>
    </dataValidation>
    <dataValidation type="list" allowBlank="1" showInputMessage="1" showErrorMessage="1" sqref="C26" xr:uid="{3E24BFAB-A46A-4F54-9307-AEE05A5ACDB9}">
      <formula1>$A$2:$A$7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Datefunc</vt:lpstr>
      <vt:lpstr>Data Validation</vt:lpstr>
      <vt:lpstr>Population</vt:lpstr>
      <vt:lpstr>Per Capita Income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Alakh Pandya</dc:creator>
  <cp:lastModifiedBy>Alakh Pandya</cp:lastModifiedBy>
  <dcterms:created xsi:type="dcterms:W3CDTF">2015-06-05T18:17:20Z</dcterms:created>
  <dcterms:modified xsi:type="dcterms:W3CDTF">2024-10-18T15:31:07Z</dcterms:modified>
</cp:coreProperties>
</file>