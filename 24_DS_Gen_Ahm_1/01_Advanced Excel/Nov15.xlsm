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all_batches\24_DS_Gen_Ahm_1\Advanced Excel\"/>
    </mc:Choice>
  </mc:AlternateContent>
  <xr:revisionPtr revIDLastSave="0" documentId="8_{E39A014D-889B-4605-B799-73B95F735D8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lass-1" sheetId="2" r:id="rId1"/>
    <sheet name="class-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2" i="2"/>
  <c r="C15" i="3"/>
  <c r="D15" i="3"/>
  <c r="B15" i="3"/>
  <c r="C14" i="3"/>
  <c r="D14" i="3"/>
  <c r="B14" i="3"/>
  <c r="C13" i="3"/>
  <c r="D13" i="3"/>
  <c r="B13" i="3"/>
  <c r="D3" i="3"/>
  <c r="D4" i="3"/>
  <c r="D5" i="3"/>
  <c r="D6" i="3"/>
  <c r="D7" i="3"/>
  <c r="D8" i="3"/>
  <c r="D9" i="3"/>
  <c r="D10" i="3"/>
  <c r="D11" i="3"/>
  <c r="D2" i="3"/>
  <c r="C15" i="2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<sst xmlns="http://schemas.openxmlformats.org/spreadsheetml/2006/main" count="35" uniqueCount="30">
  <si>
    <t>Name</t>
  </si>
  <si>
    <t>Test 1</t>
  </si>
  <si>
    <t>Test 2</t>
  </si>
  <si>
    <t>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</si>
  <si>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</si>
  <si>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</si>
  <si>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</si>
  <si>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</si>
  <si>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</si>
  <si>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</si>
  <si>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</si>
  <si>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</si>
  <si>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</si>
  <si>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</si>
  <si>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Mean</t>
  </si>
  <si>
    <t>Median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</si>
  <si>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</si>
  <si>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</si>
  <si>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</si>
  <si>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</si>
  <si>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</si>
  <si>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</si>
  <si>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</si>
  <si>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</si>
  <si>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</si>
  <si>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</si>
  <si>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</si>
  <si>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</si>
  <si>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Std. Deviation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</si>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</sst>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865A-975E-4F00-AFBE-612C430C7179}">
  <sheetPr codeName="Sheet1"/>
  <dimension ref="A1:E15"/>
  <sheetViews>
    <sheetView tabSelected="1" workbookViewId="0">
      <selection activeCell="F9" sqref="F9"/>
    </sheetView>
  </sheetViews>
  <sheetFormatPr defaultRowHeight="14.4" x14ac:dyDescent="0.3"/>
  <cols>
    <col min="1" max="1" width="12.77734375" bestFit="1" customWidth="1"/>
    <col min="5" max="5" width="11.33203125" bestFit="1" customWidth="1"/>
  </cols>
  <sheetData>
    <row r="1" spans="1:5" ht="15.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29</v>
      </c>
    </row>
    <row r="2" spans="1:5" x14ac:dyDescent="0.3">
      <c r="A2" s="4" t="s">
        <v>4</v>
      </c>
      <c r="B2" s="4">
        <v>30</v>
      </c>
      <c r="C2" s="4">
        <v>44</v>
      </c>
      <c r="D2" s="2">
        <f>B2+C2</f>
        <v>74</v>
      </c>
      <c r="E2" s="8">
        <f>ROUND(D2*100/120, 2)</f>
        <v>61.67</v>
      </c>
    </row>
    <row r="3" spans="1:5" x14ac:dyDescent="0.3">
      <c r="A3" s="4" t="s">
        <v>5</v>
      </c>
      <c r="B3" s="4">
        <v>25</v>
      </c>
      <c r="C3" s="4">
        <v>29</v>
      </c>
      <c r="D3" s="2">
        <f t="shared" ref="D3:D11" si="0">B3+C3</f>
        <v>54</v>
      </c>
      <c r="E3" s="8">
        <f t="shared" ref="E3:E11" si="1">ROUND(D3*100/120, 2)</f>
        <v>45</v>
      </c>
    </row>
    <row r="4" spans="1:5" x14ac:dyDescent="0.3">
      <c r="A4" s="4" t="s">
        <v>6</v>
      </c>
      <c r="B4" s="4">
        <v>35</v>
      </c>
      <c r="C4" s="4">
        <v>45</v>
      </c>
      <c r="D4" s="2">
        <f t="shared" si="0"/>
        <v>80</v>
      </c>
      <c r="E4" s="8">
        <f t="shared" si="1"/>
        <v>66.67</v>
      </c>
    </row>
    <row r="5" spans="1:5" x14ac:dyDescent="0.3">
      <c r="A5" s="4" t="s">
        <v>7</v>
      </c>
      <c r="B5" s="4">
        <v>50</v>
      </c>
      <c r="C5" s="4">
        <v>45</v>
      </c>
      <c r="D5" s="2">
        <f t="shared" si="0"/>
        <v>95</v>
      </c>
      <c r="E5" s="8">
        <f t="shared" si="1"/>
        <v>79.17</v>
      </c>
    </row>
    <row r="6" spans="1:5" x14ac:dyDescent="0.3">
      <c r="A6" s="4" t="s">
        <v>8</v>
      </c>
      <c r="B6" s="4">
        <v>49</v>
      </c>
      <c r="C6" s="4">
        <v>42</v>
      </c>
      <c r="D6" s="2">
        <f t="shared" si="0"/>
        <v>91</v>
      </c>
      <c r="E6" s="8">
        <f t="shared" si="1"/>
        <v>75.83</v>
      </c>
    </row>
    <row r="7" spans="1:5" x14ac:dyDescent="0.3">
      <c r="A7" s="4" t="s">
        <v>9</v>
      </c>
      <c r="B7" s="4">
        <v>22</v>
      </c>
      <c r="C7" s="4">
        <v>37</v>
      </c>
      <c r="D7" s="2">
        <f t="shared" si="0"/>
        <v>59</v>
      </c>
      <c r="E7" s="8">
        <f t="shared" si="1"/>
        <v>49.17</v>
      </c>
    </row>
    <row r="8" spans="1:5" x14ac:dyDescent="0.3">
      <c r="A8" s="4" t="s">
        <v>10</v>
      </c>
      <c r="B8" s="4">
        <v>48</v>
      </c>
      <c r="C8" s="4">
        <v>40</v>
      </c>
      <c r="D8" s="2">
        <f t="shared" si="0"/>
        <v>88</v>
      </c>
      <c r="E8" s="8">
        <f t="shared" si="1"/>
        <v>73.33</v>
      </c>
    </row>
    <row r="9" spans="1:5" x14ac:dyDescent="0.3">
      <c r="A9" s="4" t="s">
        <v>11</v>
      </c>
      <c r="B9" s="4">
        <v>28</v>
      </c>
      <c r="C9" s="4">
        <v>38</v>
      </c>
      <c r="D9" s="2">
        <f t="shared" si="0"/>
        <v>66</v>
      </c>
      <c r="E9" s="8">
        <f t="shared" si="1"/>
        <v>55</v>
      </c>
    </row>
    <row r="10" spans="1:5" x14ac:dyDescent="0.3">
      <c r="A10" s="4" t="s">
        <v>12</v>
      </c>
      <c r="B10" s="4">
        <v>33</v>
      </c>
      <c r="C10" s="4">
        <v>29</v>
      </c>
      <c r="D10" s="2">
        <f t="shared" si="0"/>
        <v>62</v>
      </c>
      <c r="E10" s="8">
        <f t="shared" si="1"/>
        <v>51.67</v>
      </c>
    </row>
    <row r="11" spans="1:5" x14ac:dyDescent="0.3">
      <c r="A11" s="4" t="s">
        <v>13</v>
      </c>
      <c r="B11" s="4">
        <v>40</v>
      </c>
      <c r="C11" s="4">
        <v>26</v>
      </c>
      <c r="D11" s="2">
        <f t="shared" si="0"/>
        <v>66</v>
      </c>
      <c r="E11" s="8">
        <f t="shared" si="1"/>
        <v>55</v>
      </c>
    </row>
    <row r="12" spans="1:5" x14ac:dyDescent="0.3">
      <c r="A12" s="5"/>
      <c r="B12" s="6"/>
      <c r="C12" s="6"/>
    </row>
    <row r="13" spans="1:5" x14ac:dyDescent="0.3">
      <c r="A13" s="7" t="s">
        <v>14</v>
      </c>
      <c r="B13" s="2">
        <f>ROUND(AVERAGE(B2:B11), 2)</f>
        <v>36</v>
      </c>
      <c r="C13" s="2">
        <f t="shared" ref="C13:D13" si="2">ROUND(AVERAGE(C2:C11), 2)</f>
        <v>37.5</v>
      </c>
      <c r="D13" s="2">
        <f t="shared" si="2"/>
        <v>73.5</v>
      </c>
    </row>
    <row r="14" spans="1:5" x14ac:dyDescent="0.3">
      <c r="A14" s="7" t="s">
        <v>15</v>
      </c>
      <c r="B14" s="2">
        <f>ROUND(MEDIAN(B2:B11), 2)</f>
        <v>34</v>
      </c>
      <c r="C14" s="2">
        <f t="shared" ref="C14:D14" si="3">ROUND(MEDIAN(C2:C11), 2)</f>
        <v>39</v>
      </c>
      <c r="D14" s="2">
        <f t="shared" si="3"/>
        <v>70</v>
      </c>
    </row>
    <row r="15" spans="1:5" x14ac:dyDescent="0.3">
      <c r="A15" s="7" t="s">
        <v>28</v>
      </c>
      <c r="B15" s="2">
        <f>ROUND(_xlfn.STDEV.P(B2:B11), 2)</f>
        <v>9.76</v>
      </c>
      <c r="C15" s="2">
        <f t="shared" ref="C15:D15" si="4">ROUND(_xlfn.STDEV.P(C2:C11), 2)</f>
        <v>6.77</v>
      </c>
      <c r="D15" s="2">
        <f t="shared" si="4"/>
        <v>13.63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57427-ABAE-453D-A1B5-91037BD24A42}">
  <sheetPr codeName="Sheet2"/>
  <dimension ref="A1:D15"/>
  <sheetViews>
    <sheetView workbookViewId="0">
      <selection activeCell="G11" sqref="G11"/>
    </sheetView>
  </sheetViews>
  <sheetFormatPr defaultRowHeight="14.4" x14ac:dyDescent="0.3"/>
  <cols>
    <col min="1" max="1" width="12.77734375" bestFit="1" customWidth="1"/>
  </cols>
  <sheetData>
    <row r="1" spans="1:4" x14ac:dyDescent="0.3">
      <c r="A1" s="3" t="s">
        <v>3</v>
      </c>
      <c r="B1" s="3" t="s">
        <v>16</v>
      </c>
      <c r="C1" s="3" t="s">
        <v>17</v>
      </c>
      <c r="D1" s="3" t="s">
        <v>3</v>
      </c>
    </row>
    <row r="2" spans="1:4" x14ac:dyDescent="0.3">
      <c r="A2" s="4" t="s">
        <v>18</v>
      </c>
      <c r="B2" s="4">
        <v>10</v>
      </c>
      <c r="C2" s="4">
        <v>15</v>
      </c>
      <c r="D2" s="2">
        <f>B2+C2</f>
        <v>25</v>
      </c>
    </row>
    <row r="3" spans="1:4" x14ac:dyDescent="0.3">
      <c r="A3" s="4" t="s">
        <v>19</v>
      </c>
      <c r="B3" s="4">
        <v>12</v>
      </c>
      <c r="C3" s="4">
        <v>12</v>
      </c>
      <c r="D3" s="2">
        <f t="shared" ref="D3:D11" si="0">B3+C3</f>
        <v>24</v>
      </c>
    </row>
    <row r="4" spans="1:4" x14ac:dyDescent="0.3">
      <c r="A4" s="4" t="s">
        <v>20</v>
      </c>
      <c r="B4" s="4">
        <v>11</v>
      </c>
      <c r="C4" s="4">
        <v>13</v>
      </c>
      <c r="D4" s="2">
        <f t="shared" si="0"/>
        <v>24</v>
      </c>
    </row>
    <row r="5" spans="1:4" x14ac:dyDescent="0.3">
      <c r="A5" s="4" t="s">
        <v>21</v>
      </c>
      <c r="B5" s="4">
        <v>9</v>
      </c>
      <c r="C5" s="4">
        <v>15</v>
      </c>
      <c r="D5" s="2">
        <f t="shared" si="0"/>
        <v>24</v>
      </c>
    </row>
    <row r="6" spans="1:4" x14ac:dyDescent="0.3">
      <c r="A6" s="4" t="s">
        <v>22</v>
      </c>
      <c r="B6" s="4">
        <v>14</v>
      </c>
      <c r="C6" s="4">
        <v>9</v>
      </c>
      <c r="D6" s="2">
        <f t="shared" si="0"/>
        <v>23</v>
      </c>
    </row>
    <row r="7" spans="1:4" x14ac:dyDescent="0.3">
      <c r="A7" s="4" t="s">
        <v>23</v>
      </c>
      <c r="B7" s="4">
        <v>15</v>
      </c>
      <c r="C7" s="4">
        <v>10</v>
      </c>
      <c r="D7" s="2">
        <f t="shared" si="0"/>
        <v>25</v>
      </c>
    </row>
    <row r="8" spans="1:4" x14ac:dyDescent="0.3">
      <c r="A8" s="4" t="s">
        <v>24</v>
      </c>
      <c r="B8" s="4">
        <v>13</v>
      </c>
      <c r="C8" s="4">
        <v>10</v>
      </c>
      <c r="D8" s="2">
        <f t="shared" si="0"/>
        <v>23</v>
      </c>
    </row>
    <row r="9" spans="1:4" x14ac:dyDescent="0.3">
      <c r="A9" s="4" t="s">
        <v>25</v>
      </c>
      <c r="B9" s="4">
        <v>7</v>
      </c>
      <c r="C9" s="4">
        <v>11</v>
      </c>
      <c r="D9" s="2">
        <f t="shared" si="0"/>
        <v>18</v>
      </c>
    </row>
    <row r="10" spans="1:4" x14ac:dyDescent="0.3">
      <c r="A10" s="4" t="s">
        <v>26</v>
      </c>
      <c r="B10" s="4">
        <v>8</v>
      </c>
      <c r="C10" s="4">
        <v>15</v>
      </c>
      <c r="D10" s="2">
        <f t="shared" si="0"/>
        <v>23</v>
      </c>
    </row>
    <row r="11" spans="1:4" x14ac:dyDescent="0.3">
      <c r="A11" s="4" t="s">
        <v>27</v>
      </c>
      <c r="B11" s="4">
        <v>9</v>
      </c>
      <c r="C11" s="4">
        <v>13</v>
      </c>
      <c r="D11" s="2">
        <f t="shared" si="0"/>
        <v>22</v>
      </c>
    </row>
    <row r="12" spans="1:4" x14ac:dyDescent="0.3">
      <c r="A12" s="5"/>
      <c r="B12" s="6"/>
      <c r="C12" s="6"/>
    </row>
    <row r="13" spans="1:4" x14ac:dyDescent="0.3">
      <c r="A13" s="7" t="s">
        <v>14</v>
      </c>
      <c r="B13" s="2">
        <f>ROUND(AVERAGE(B2:B11), 2)</f>
        <v>10.8</v>
      </c>
      <c r="C13" s="2">
        <f t="shared" ref="C13:D13" si="1">ROUND(AVERAGE(C2:C11), 2)</f>
        <v>12.3</v>
      </c>
      <c r="D13" s="2">
        <f t="shared" si="1"/>
        <v>23.1</v>
      </c>
    </row>
    <row r="14" spans="1:4" x14ac:dyDescent="0.3">
      <c r="A14" s="7" t="s">
        <v>15</v>
      </c>
      <c r="B14" s="2">
        <f>ROUND(MEDIAN(B2:B11), 2)</f>
        <v>10.5</v>
      </c>
      <c r="C14" s="2">
        <f t="shared" ref="C14:D14" si="2">ROUND(MEDIAN(C2:C11), 2)</f>
        <v>12.5</v>
      </c>
      <c r="D14" s="2">
        <f t="shared" si="2"/>
        <v>23.5</v>
      </c>
    </row>
    <row r="15" spans="1:4" x14ac:dyDescent="0.3">
      <c r="A15" s="7" t="s">
        <v>28</v>
      </c>
      <c r="B15" s="2">
        <f>ROUND(_xlfn.STDEV.P(B2:B11), 2)</f>
        <v>2.52</v>
      </c>
      <c r="C15" s="2">
        <f t="shared" ref="C15:D15" si="3">ROUND(_xlfn.STDEV.P(C2:C11), 2)</f>
        <v>2.15</v>
      </c>
      <c r="D15" s="2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2024-11-05T14:11:04Z</dcterms:modified>
</cp:coreProperties>
</file>