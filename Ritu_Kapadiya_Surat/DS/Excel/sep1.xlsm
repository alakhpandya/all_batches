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/>
  <mc:AlternateContent xmlns:mc="http://schemas.openxmlformats.org/markup-compatibility/2006">
    <mc:Choice Requires="x15">
      <x15ac:absPath xmlns:x15ac="http://schemas.microsoft.com/office/spreadsheetml/2010/11/ac" url="C:\Users\Alakh Pandya\Desktop\Batches\Ritu_Kapadiya_Surat\DS\Excel\"/>
    </mc:Choice>
  </mc:AlternateContent>
  <xr:revisionPtr revIDLastSave="0" documentId="8_{1F98E842-8B7F-4EB8-BC2B-01A759828732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Sheet1" sheetId="1" r:id="rId1"/>
    <sheet name="Sheet2" sheetId="2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5" i="2" l="1"/>
  <c r="D15" i="2"/>
  <c r="E15" i="2"/>
  <c r="B15" i="2"/>
  <c r="E14" i="2"/>
  <c r="D14" i="2"/>
  <c r="C14" i="2"/>
  <c r="B14" i="2"/>
  <c r="E13" i="2"/>
  <c r="D13" i="2"/>
  <c r="C13" i="2"/>
  <c r="B13" i="2"/>
  <c r="E3" i="2"/>
  <c r="E4" i="2"/>
  <c r="E5" i="2"/>
  <c r="E6" i="2"/>
  <c r="E7" i="2"/>
  <c r="E8" i="2"/>
  <c r="E9" i="2"/>
  <c r="E10" i="2"/>
  <c r="E11" i="2"/>
  <c r="E2" i="2"/>
  <c r="D3" i="2"/>
  <c r="D4" i="2"/>
  <c r="D5" i="2"/>
  <c r="D6" i="2"/>
  <c r="D7" i="2"/>
  <c r="D8" i="2"/>
  <c r="D9" i="2"/>
  <c r="D10" i="2"/>
  <c r="D11" i="2"/>
  <c r="D2" i="2"/>
  <c r="C15" i="1"/>
  <c r="D15" i="1"/>
  <c r="E15" i="1"/>
  <c r="B15" i="1"/>
  <c r="E14" i="1"/>
  <c r="D14" i="1"/>
  <c r="C14" i="1"/>
  <c r="B14" i="1"/>
  <c r="E13" i="1"/>
  <c r="D13" i="1"/>
  <c r="C13" i="1"/>
  <c r="B13" i="1"/>
  <c r="E3" i="1"/>
  <c r="E4" i="1"/>
  <c r="E5" i="1"/>
  <c r="E6" i="1"/>
  <c r="E7" i="1"/>
  <c r="E8" i="1"/>
  <c r="E9" i="1"/>
  <c r="E10" i="1"/>
  <c r="E11" i="1"/>
  <c r="E2" i="1"/>
  <c r="D3" i="1"/>
  <c r="D4" i="1"/>
  <c r="D5" i="1"/>
  <c r="D6" i="1"/>
  <c r="D7" i="1"/>
  <c r="D8" i="1"/>
  <c r="D9" i="1"/>
  <c r="D10" i="1"/>
  <c r="D11" i="1"/>
  <c r="D2" i="1"/>
</calcChain>
</file>

<file path=xl/sharedStrings.xml><?xml version="1.0" encoding="utf-8"?>
<sst xmlns="http://schemas.openxmlformats.org/spreadsheetml/2006/main" count="36" uniqueCount="30">
  <si>
    <t>Name</t>
  </si>
  <si>
    <t>Test 1</t>
  </si>
  <si>
    <t>Test 2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</si>
  <si>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</si>
  <si>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</si>
  <si>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</si>
  <si>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</si>
  <si>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</si>
  <si>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</si>
  <si>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</si>
  <si>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</si>
  <si>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</si>
  <si>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</si>
  <si>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Sub 1</t>
  </si>
  <si>
    <t>Sub 2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</si>
  <si>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</si>
  <si>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</si>
  <si>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</si>
  <si>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</si>
  <si>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</si>
  <si>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</si>
  <si>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</si>
  <si>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</si>
  <si>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</si>
  <si>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</si>
  <si>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Total</t>
  </si>
  <si>
    <t>Percentage</t>
  </si>
  <si>
    <t>Mean</t>
  </si>
  <si>
    <t>Median</t>
  </si>
  <si>
    <t>Std Dev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</si>
</sst>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2" borderId="1" xfId="0" applyFont="1" applyFill="1" applyBorder="1" applyAlignment="1">
      <alignment horizontal="left" vertical="top"/>
    </xf>
    <xf numFmtId="0" fontId="2" fillId="2" borderId="1" xfId="0" applyFont="1" applyFill="1" applyBorder="1" applyAlignment="1">
      <alignment horizontal="center" vertical="top"/>
    </xf>
    <xf numFmtId="0" fontId="0" fillId="0" borderId="1" xfId="0" applyBorder="1" applyAlignment="1">
      <alignment horizontal="center" vertical="top"/>
    </xf>
    <xf numFmtId="0" fontId="0" fillId="0" borderId="1" xfId="0" applyBorder="1" applyAlignment="1">
      <alignment horizontal="center"/>
    </xf>
    <xf numFmtId="0" fontId="1" fillId="2" borderId="1" xfId="0" applyFont="1" applyFill="1" applyBorder="1" applyAlignment="1">
      <alignment horizontal="center"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E15"/>
  <sheetViews>
    <sheetView tabSelected="1" workbookViewId="0">
      <selection activeCell="F10" sqref="F10"/>
    </sheetView>
  </sheetViews>
  <sheetFormatPr defaultRowHeight="14.4" x14ac:dyDescent="0.3"/>
  <cols>
    <col min="5" max="5" width="11.33203125" bestFit="1" customWidth="1"/>
  </cols>
  <sheetData>
    <row r="1" spans="1:5" ht="15.6" x14ac:dyDescent="0.3">
      <c r="A1" s="2" t="s">
        <v>0</v>
      </c>
      <c r="B1" s="2" t="s">
        <v>1</v>
      </c>
      <c r="C1" s="2" t="s">
        <v>2</v>
      </c>
      <c r="D1" s="2" t="s">
        <v>25</v>
      </c>
      <c r="E1" s="2" t="s">
        <v>26</v>
      </c>
    </row>
    <row r="2" spans="1:5" x14ac:dyDescent="0.3">
      <c r="A2" s="3" t="s">
        <v>3</v>
      </c>
      <c r="B2" s="3">
        <v>30</v>
      </c>
      <c r="C2" s="3">
        <v>44</v>
      </c>
      <c r="D2" s="4">
        <f>B2+C2</f>
        <v>74</v>
      </c>
      <c r="E2" s="4">
        <f>ROUND(D2/2, 2)</f>
        <v>37</v>
      </c>
    </row>
    <row r="3" spans="1:5" x14ac:dyDescent="0.3">
      <c r="A3" s="3" t="s">
        <v>4</v>
      </c>
      <c r="B3" s="3">
        <v>25</v>
      </c>
      <c r="C3" s="3">
        <v>29</v>
      </c>
      <c r="D3" s="4">
        <f t="shared" ref="D3:D11" si="0">B3+C3</f>
        <v>54</v>
      </c>
      <c r="E3" s="4">
        <f t="shared" ref="E3:E11" si="1">ROUND(D3/2, 2)</f>
        <v>27</v>
      </c>
    </row>
    <row r="4" spans="1:5" x14ac:dyDescent="0.3">
      <c r="A4" s="3" t="s">
        <v>5</v>
      </c>
      <c r="B4" s="3">
        <v>35</v>
      </c>
      <c r="C4" s="3">
        <v>45</v>
      </c>
      <c r="D4" s="4">
        <f t="shared" si="0"/>
        <v>80</v>
      </c>
      <c r="E4" s="4">
        <f t="shared" si="1"/>
        <v>40</v>
      </c>
    </row>
    <row r="5" spans="1:5" x14ac:dyDescent="0.3">
      <c r="A5" s="3" t="s">
        <v>6</v>
      </c>
      <c r="B5" s="3">
        <v>50</v>
      </c>
      <c r="C5" s="3">
        <v>45</v>
      </c>
      <c r="D5" s="4">
        <f t="shared" si="0"/>
        <v>95</v>
      </c>
      <c r="E5" s="4">
        <f t="shared" si="1"/>
        <v>47.5</v>
      </c>
    </row>
    <row r="6" spans="1:5" x14ac:dyDescent="0.3">
      <c r="A6" s="3" t="s">
        <v>7</v>
      </c>
      <c r="B6" s="3">
        <v>49</v>
      </c>
      <c r="C6" s="3">
        <v>42</v>
      </c>
      <c r="D6" s="4">
        <f t="shared" si="0"/>
        <v>91</v>
      </c>
      <c r="E6" s="4">
        <f t="shared" si="1"/>
        <v>45.5</v>
      </c>
    </row>
    <row r="7" spans="1:5" x14ac:dyDescent="0.3">
      <c r="A7" s="3" t="s">
        <v>8</v>
      </c>
      <c r="B7" s="3">
        <v>22</v>
      </c>
      <c r="C7" s="3">
        <v>37</v>
      </c>
      <c r="D7" s="4">
        <f t="shared" si="0"/>
        <v>59</v>
      </c>
      <c r="E7" s="4">
        <f t="shared" si="1"/>
        <v>29.5</v>
      </c>
    </row>
    <row r="8" spans="1:5" x14ac:dyDescent="0.3">
      <c r="A8" s="3" t="s">
        <v>9</v>
      </c>
      <c r="B8" s="3">
        <v>48</v>
      </c>
      <c r="C8" s="3">
        <v>40</v>
      </c>
      <c r="D8" s="4">
        <f t="shared" si="0"/>
        <v>88</v>
      </c>
      <c r="E8" s="4">
        <f t="shared" si="1"/>
        <v>44</v>
      </c>
    </row>
    <row r="9" spans="1:5" x14ac:dyDescent="0.3">
      <c r="A9" s="3" t="s">
        <v>10</v>
      </c>
      <c r="B9" s="3">
        <v>28</v>
      </c>
      <c r="C9" s="3">
        <v>38</v>
      </c>
      <c r="D9" s="4">
        <f t="shared" si="0"/>
        <v>66</v>
      </c>
      <c r="E9" s="4">
        <f t="shared" si="1"/>
        <v>33</v>
      </c>
    </row>
    <row r="10" spans="1:5" x14ac:dyDescent="0.3">
      <c r="A10" s="3" t="s">
        <v>11</v>
      </c>
      <c r="B10" s="3">
        <v>33</v>
      </c>
      <c r="C10" s="3">
        <v>29</v>
      </c>
      <c r="D10" s="4">
        <f t="shared" si="0"/>
        <v>62</v>
      </c>
      <c r="E10" s="4">
        <f t="shared" si="1"/>
        <v>31</v>
      </c>
    </row>
    <row r="11" spans="1:5" x14ac:dyDescent="0.3">
      <c r="A11" s="3" t="s">
        <v>12</v>
      </c>
      <c r="B11" s="3">
        <v>40</v>
      </c>
      <c r="C11" s="3">
        <v>26</v>
      </c>
      <c r="D11" s="4">
        <f t="shared" si="0"/>
        <v>66</v>
      </c>
      <c r="E11" s="4">
        <f t="shared" si="1"/>
        <v>33</v>
      </c>
    </row>
    <row r="13" spans="1:5" x14ac:dyDescent="0.3">
      <c r="A13" s="1" t="s">
        <v>27</v>
      </c>
      <c r="B13" s="4">
        <f>ROUND(AVERAGE(B2:B11), 2)</f>
        <v>36</v>
      </c>
      <c r="C13" s="4">
        <f>ROUND(AVERAGE(C2:C11), 2)</f>
        <v>37.5</v>
      </c>
      <c r="D13" s="4">
        <f>ROUND(AVERAGE(D2:D11), 2)</f>
        <v>73.5</v>
      </c>
      <c r="E13" s="4">
        <f>ROUND(AVERAGE(E2:E11), 2)</f>
        <v>36.75</v>
      </c>
    </row>
    <row r="14" spans="1:5" x14ac:dyDescent="0.3">
      <c r="A14" s="1" t="s">
        <v>28</v>
      </c>
      <c r="B14" s="4">
        <f>ROUND(MEDIAN(B2:B11), 2)</f>
        <v>34</v>
      </c>
      <c r="C14" s="4">
        <f>ROUND(MEDIAN(C2:C11), 2)</f>
        <v>39</v>
      </c>
      <c r="D14" s="4">
        <f>ROUND(MEDIAN(D2:D11), 2)</f>
        <v>70</v>
      </c>
      <c r="E14" s="4">
        <f>ROUND(MEDIAN(E2:E11), 2)</f>
        <v>35</v>
      </c>
    </row>
    <row r="15" spans="1:5" x14ac:dyDescent="0.3">
      <c r="A15" s="1" t="s">
        <v>29</v>
      </c>
      <c r="B15" s="4">
        <f>ROUND(STDEV(B2:B11), 2)</f>
        <v>10.28</v>
      </c>
      <c r="C15" s="4">
        <f t="shared" ref="C15:E15" si="2">ROUND(STDEV(C2:C11), 2)</f>
        <v>7.14</v>
      </c>
      <c r="D15" s="4">
        <f t="shared" si="2"/>
        <v>14.36</v>
      </c>
      <c r="E15" s="4">
        <f t="shared" si="2"/>
        <v>7.18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775D00-393A-4A95-A2E2-0D6D8AB05709}">
  <dimension ref="A1:E15"/>
  <sheetViews>
    <sheetView workbookViewId="0">
      <selection activeCell="F10" sqref="F10"/>
    </sheetView>
  </sheetViews>
  <sheetFormatPr defaultRowHeight="14.4" x14ac:dyDescent="0.3"/>
  <cols>
    <col min="5" max="5" width="10.44140625" bestFit="1" customWidth="1"/>
  </cols>
  <sheetData>
    <row r="1" spans="1:5" x14ac:dyDescent="0.3">
      <c r="A1" s="5" t="s">
        <v>0</v>
      </c>
      <c r="B1" s="5" t="s">
        <v>13</v>
      </c>
      <c r="C1" s="5" t="s">
        <v>14</v>
      </c>
      <c r="D1" s="5" t="s">
        <v>25</v>
      </c>
      <c r="E1" s="5" t="s">
        <v>26</v>
      </c>
    </row>
    <row r="2" spans="1:5" x14ac:dyDescent="0.3">
      <c r="A2" s="3" t="s">
        <v>15</v>
      </c>
      <c r="B2" s="3">
        <v>10</v>
      </c>
      <c r="C2" s="3">
        <v>15</v>
      </c>
      <c r="D2" s="4">
        <f>B2+C2</f>
        <v>25</v>
      </c>
      <c r="E2" s="4">
        <f>ROUND(D2/2, 2)</f>
        <v>12.5</v>
      </c>
    </row>
    <row r="3" spans="1:5" x14ac:dyDescent="0.3">
      <c r="A3" s="3" t="s">
        <v>16</v>
      </c>
      <c r="B3" s="3">
        <v>12</v>
      </c>
      <c r="C3" s="3">
        <v>12</v>
      </c>
      <c r="D3" s="4">
        <f t="shared" ref="D3:D11" si="0">B3+C3</f>
        <v>24</v>
      </c>
      <c r="E3" s="4">
        <f t="shared" ref="E3:E11" si="1">ROUND(D3/2, 2)</f>
        <v>12</v>
      </c>
    </row>
    <row r="4" spans="1:5" x14ac:dyDescent="0.3">
      <c r="A4" s="3" t="s">
        <v>17</v>
      </c>
      <c r="B4" s="3">
        <v>11</v>
      </c>
      <c r="C4" s="3">
        <v>13</v>
      </c>
      <c r="D4" s="4">
        <f t="shared" si="0"/>
        <v>24</v>
      </c>
      <c r="E4" s="4">
        <f t="shared" si="1"/>
        <v>12</v>
      </c>
    </row>
    <row r="5" spans="1:5" x14ac:dyDescent="0.3">
      <c r="A5" s="3" t="s">
        <v>18</v>
      </c>
      <c r="B5" s="3">
        <v>9</v>
      </c>
      <c r="C5" s="3">
        <v>15</v>
      </c>
      <c r="D5" s="4">
        <f t="shared" si="0"/>
        <v>24</v>
      </c>
      <c r="E5" s="4">
        <f t="shared" si="1"/>
        <v>12</v>
      </c>
    </row>
    <row r="6" spans="1:5" x14ac:dyDescent="0.3">
      <c r="A6" s="3" t="s">
        <v>19</v>
      </c>
      <c r="B6" s="3">
        <v>14</v>
      </c>
      <c r="C6" s="3">
        <v>9</v>
      </c>
      <c r="D6" s="4">
        <f t="shared" si="0"/>
        <v>23</v>
      </c>
      <c r="E6" s="4">
        <f t="shared" si="1"/>
        <v>11.5</v>
      </c>
    </row>
    <row r="7" spans="1:5" x14ac:dyDescent="0.3">
      <c r="A7" s="3" t="s">
        <v>20</v>
      </c>
      <c r="B7" s="3">
        <v>15</v>
      </c>
      <c r="C7" s="3">
        <v>10</v>
      </c>
      <c r="D7" s="4">
        <f t="shared" si="0"/>
        <v>25</v>
      </c>
      <c r="E7" s="4">
        <f t="shared" si="1"/>
        <v>12.5</v>
      </c>
    </row>
    <row r="8" spans="1:5" x14ac:dyDescent="0.3">
      <c r="A8" s="3" t="s">
        <v>21</v>
      </c>
      <c r="B8" s="3">
        <v>13</v>
      </c>
      <c r="C8" s="3">
        <v>10</v>
      </c>
      <c r="D8" s="4">
        <f t="shared" si="0"/>
        <v>23</v>
      </c>
      <c r="E8" s="4">
        <f t="shared" si="1"/>
        <v>11.5</v>
      </c>
    </row>
    <row r="9" spans="1:5" x14ac:dyDescent="0.3">
      <c r="A9" s="3" t="s">
        <v>22</v>
      </c>
      <c r="B9" s="3">
        <v>7</v>
      </c>
      <c r="C9" s="3">
        <v>11</v>
      </c>
      <c r="D9" s="4">
        <f t="shared" si="0"/>
        <v>18</v>
      </c>
      <c r="E9" s="4">
        <f t="shared" si="1"/>
        <v>9</v>
      </c>
    </row>
    <row r="10" spans="1:5" x14ac:dyDescent="0.3">
      <c r="A10" s="3" t="s">
        <v>23</v>
      </c>
      <c r="B10" s="3">
        <v>8</v>
      </c>
      <c r="C10" s="3">
        <v>15</v>
      </c>
      <c r="D10" s="4">
        <f t="shared" si="0"/>
        <v>23</v>
      </c>
      <c r="E10" s="4">
        <f t="shared" si="1"/>
        <v>11.5</v>
      </c>
    </row>
    <row r="11" spans="1:5" x14ac:dyDescent="0.3">
      <c r="A11" s="3" t="s">
        <v>24</v>
      </c>
      <c r="B11" s="3">
        <v>9</v>
      </c>
      <c r="C11" s="3">
        <v>13</v>
      </c>
      <c r="D11" s="4">
        <f t="shared" si="0"/>
        <v>22</v>
      </c>
      <c r="E11" s="4">
        <f t="shared" si="1"/>
        <v>11</v>
      </c>
    </row>
    <row r="13" spans="1:5" x14ac:dyDescent="0.3">
      <c r="A13" s="1" t="s">
        <v>27</v>
      </c>
      <c r="B13" s="4">
        <f>ROUND(AVERAGE(B2:B11), 2)</f>
        <v>10.8</v>
      </c>
      <c r="C13" s="4">
        <f>ROUND(AVERAGE(C2:C11), 2)</f>
        <v>12.3</v>
      </c>
      <c r="D13" s="4">
        <f>ROUND(AVERAGE(D2:D11), 2)</f>
        <v>23.1</v>
      </c>
      <c r="E13" s="4">
        <f>ROUND(AVERAGE(E2:E11), 2)</f>
        <v>11.55</v>
      </c>
    </row>
    <row r="14" spans="1:5" x14ac:dyDescent="0.3">
      <c r="A14" s="1" t="s">
        <v>28</v>
      </c>
      <c r="B14" s="4">
        <f>ROUND(MEDIAN(B2:B11), 2)</f>
        <v>10.5</v>
      </c>
      <c r="C14" s="4">
        <f>ROUND(MEDIAN(C2:C11), 2)</f>
        <v>12.5</v>
      </c>
      <c r="D14" s="4">
        <f>ROUND(MEDIAN(D2:D11), 2)</f>
        <v>23.5</v>
      </c>
      <c r="E14" s="4">
        <f>ROUND(MEDIAN(E2:E11), 2)</f>
        <v>11.75</v>
      </c>
    </row>
    <row r="15" spans="1:5" x14ac:dyDescent="0.3">
      <c r="A15" s="1" t="s">
        <v>29</v>
      </c>
      <c r="B15" s="4">
        <f>ROUND(STDEV(B2:B11), 2)</f>
        <v>2.66</v>
      </c>
      <c r="C15" s="4">
        <f t="shared" ref="C15:E15" si="2">ROUND(STDEV(C2:C11), 2)</f>
        <v>2.2599999999999998</v>
      </c>
      <c r="D15" s="4">
        <f t="shared" si="2"/>
        <v>2.02</v>
      </c>
      <c r="E15" s="4">
        <f t="shared" si="2"/>
        <v>1.01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Alakh Pandya</dc:creator>
  <cp:lastModifiedBy>Alakh Pandya</cp:lastModifiedBy>
  <dcterms:created xsi:type="dcterms:W3CDTF">2015-06-05T18:17:20Z</dcterms:created>
  <dcterms:modified xsi:type="dcterms:W3CDTF">2023-09-01T11:08:30Z</dcterms:modified>
</cp:coreProperties>
</file>