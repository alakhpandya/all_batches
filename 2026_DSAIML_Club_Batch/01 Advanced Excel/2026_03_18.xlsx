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01 Advanced Excel\"/>
    </mc:Choice>
  </mc:AlternateContent>
  <xr:revisionPtr revIDLastSave="0" documentId="13_ncr:1_{0E66BD31-6E3E-4067-B186-EAEFA5DEF50F}" xr6:coauthVersionLast="47" xr6:coauthVersionMax="47" xr10:uidLastSave="{00000000-0000-0000-0000-000000000000}"/>
  <bookViews>
    <workbookView xWindow="-108" yWindow="-108" windowWidth="23256" windowHeight="12576" activeTab="4" xr2:uid="{F1B70C52-058B-4C35-9382-A2027BE7D9BC}"/>
  </bookViews>
  <sheets>
    <sheet name="Data Validation" sheetId="2" r:id="rId1"/>
    <sheet name="Sheet5" sheetId="5" r:id="rId2"/>
    <sheet name="Population" sheetId="3" r:id="rId3"/>
    <sheet name="Per Capita Income" sheetId="4" r:id="rId4"/>
    <sheet name="HLookup &amp; Transpose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6" l="1"/>
  <c r="F12" i="6"/>
  <c r="C13" i="6" s="1"/>
  <c r="F26" i="4" l="1"/>
  <c r="F25" i="4"/>
  <c r="C16" i="4"/>
  <c r="C13" i="4"/>
  <c r="G20" i="4"/>
  <c r="G16" i="4"/>
  <c r="G13" i="4"/>
  <c r="B19" i="4"/>
  <c r="K5" i="4"/>
  <c r="C2" i="4"/>
  <c r="E3" i="4"/>
  <c r="E4" i="4"/>
  <c r="E5" i="4"/>
  <c r="E6" i="4"/>
  <c r="E7" i="4"/>
  <c r="E2" i="4"/>
  <c r="D3" i="4"/>
  <c r="D4" i="4"/>
  <c r="K7" i="4" s="1"/>
  <c r="D5" i="4"/>
  <c r="D6" i="4"/>
  <c r="D7" i="4"/>
  <c r="D2" i="4"/>
  <c r="C3" i="4"/>
  <c r="C4" i="4"/>
  <c r="K6" i="4" s="1"/>
  <c r="C5" i="4"/>
  <c r="C6" i="4"/>
  <c r="C7" i="4"/>
  <c r="C28" i="4" l="1"/>
  <c r="C27" i="4"/>
  <c r="K8" i="4"/>
  <c r="C29" i="4"/>
  <c r="D15" i="2"/>
  <c r="D16" i="2"/>
</calcChain>
</file>

<file path=xl/sharedStrings.xml><?xml version="1.0" encoding="utf-8"?>
<sst xmlns="http://schemas.openxmlformats.org/spreadsheetml/2006/main" count="123" uniqueCount="75">
  <si>
    <t>Qty:</t>
  </si>
  <si>
    <t>Amount (Warning):</t>
  </si>
  <si>
    <t>Temperature:</t>
  </si>
  <si>
    <t>Seats:</t>
  </si>
  <si>
    <t>Day:</t>
  </si>
  <si>
    <t>Choose:</t>
  </si>
  <si>
    <t>Date:</t>
  </si>
  <si>
    <t>Error Handling</t>
  </si>
  <si>
    <t>Numerator</t>
  </si>
  <si>
    <t>Denominator</t>
  </si>
  <si>
    <t>Division (Without Error Handling)</t>
  </si>
  <si>
    <t>Division</t>
  </si>
  <si>
    <t>STD Code</t>
  </si>
  <si>
    <t>City</t>
  </si>
  <si>
    <t>Population</t>
  </si>
  <si>
    <t>Avg. Literacy</t>
  </si>
  <si>
    <t>Male Literacy</t>
  </si>
  <si>
    <t>Female Literacy</t>
  </si>
  <si>
    <t>Ahmedabad</t>
  </si>
  <si>
    <t>Surat</t>
  </si>
  <si>
    <t>Patan</t>
  </si>
  <si>
    <t>Rajkot</t>
  </si>
  <si>
    <t>Disa</t>
  </si>
  <si>
    <t>Palanpur</t>
  </si>
  <si>
    <t>Income</t>
  </si>
  <si>
    <t>VLOOKUP Exercise</t>
  </si>
  <si>
    <t>Avg.Literacy</t>
  </si>
  <si>
    <t>Match Function</t>
  </si>
  <si>
    <t>Index Function</t>
  </si>
  <si>
    <t>Row Number</t>
  </si>
  <si>
    <t>Parameter</t>
  </si>
  <si>
    <t>Column No</t>
  </si>
  <si>
    <t>Col Number</t>
  </si>
  <si>
    <t>Row No.</t>
  </si>
  <si>
    <t>Col No.</t>
  </si>
  <si>
    <t>Answer:</t>
  </si>
  <si>
    <t>Enter City Name</t>
  </si>
  <si>
    <t>Row No. of the city:</t>
  </si>
  <si>
    <t>Col No. of the parameter:</t>
  </si>
  <si>
    <t>Value</t>
  </si>
  <si>
    <t>Direct Value</t>
  </si>
  <si>
    <t>Using VLOOKUP &amp; Match</t>
  </si>
  <si>
    <t>Tue</t>
  </si>
  <si>
    <t>Name</t>
  </si>
  <si>
    <t>Krushnam</t>
  </si>
  <si>
    <t>Vedant</t>
  </si>
  <si>
    <t>Hitarth</t>
  </si>
  <si>
    <t>Pushpraj</t>
  </si>
  <si>
    <t>Deep</t>
  </si>
  <si>
    <t>Shalin</t>
  </si>
  <si>
    <t>Vraj</t>
  </si>
  <si>
    <t>Kushal</t>
  </si>
  <si>
    <t>Harsh</t>
  </si>
  <si>
    <t>Raghav</t>
  </si>
  <si>
    <t>We can't get STD Codes using VLOOKUP!</t>
  </si>
  <si>
    <t>Match Doesn't Support 2D array!</t>
  </si>
  <si>
    <t>SR Tendulkar</t>
  </si>
  <si>
    <t>V Sehwag</t>
  </si>
  <si>
    <t>V Kohli</t>
  </si>
  <si>
    <t>Matches</t>
  </si>
  <si>
    <t>100's</t>
  </si>
  <si>
    <t>50's</t>
  </si>
  <si>
    <t>6's</t>
  </si>
  <si>
    <t>4's</t>
  </si>
  <si>
    <t>4s</t>
  </si>
  <si>
    <t>Batsman</t>
  </si>
  <si>
    <t>Row No:</t>
  </si>
  <si>
    <t>Direct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</si>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</sst>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0" fontId="0" fillId="2" borderId="0" xfId="0" applyFill="1" applyAlignment="1">
      <alignment horizontal="right"/>
    </xf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7" borderId="3" xfId="0" applyFill="1" applyBorder="1"/>
    <xf numFmtId="0" fontId="0" fillId="7" borderId="0" xfId="0" applyFill="1"/>
    <xf numFmtId="22" fontId="0" fillId="0" borderId="0" xfId="0" applyNumberFormat="1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8" borderId="1" xfId="0" applyFont="1" applyFill="1" applyBorder="1"/>
    <xf numFmtId="0" fontId="0" fillId="9" borderId="1" xfId="0" applyFill="1" applyBorder="1"/>
    <xf numFmtId="0" fontId="3" fillId="8" borderId="1" xfId="0" applyFont="1" applyFill="1" applyBorder="1"/>
    <xf numFmtId="0" fontId="3" fillId="8" borderId="4" xfId="0" applyFont="1" applyFill="1" applyBorder="1"/>
    <xf numFmtId="0" fontId="3" fillId="8" borderId="5" xfId="0" applyFont="1" applyFill="1" applyBorder="1"/>
    <xf numFmtId="0" fontId="3" fillId="8" borderId="6" xfId="0" applyFont="1" applyFill="1" applyBorder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10" borderId="1" xfId="0" applyFont="1" applyFill="1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Question Hlookupworked-style" pivot="0" count="3" xr9:uid="{7FC94ECD-3220-49B7-9C34-94BF03992848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0DED5-077E-4A7D-9752-B09415C11352}" name="Table_57" displayName="Table_57" ref="B3:E8" headerRowDxfId="1" totalsRowDxfId="0" headerRowBorderDxfId="6" tableBorderDxfId="7">
  <tableColumns count="4">
    <tableColumn id="1" xr3:uid="{2593F928-BE42-4B5B-98AB-8BE462E22C89}" name="Name" dataDxfId="5"/>
    <tableColumn id="2" xr3:uid="{AD2CA611-E1E3-49FC-A5AF-D3581380B32C}" name="SR Tendulkar" dataDxfId="4"/>
    <tableColumn id="3" xr3:uid="{F3BA7798-EBAF-464D-B405-11BAE08E88D6}" name="V Sehwag" dataDxfId="3"/>
    <tableColumn id="4" xr3:uid="{51B8F2A3-3D2E-4204-A6F4-14B0FE720A3D}" name="V Kohli" dataDxfId="2"/>
  </tableColumns>
  <tableStyleInfo name="Question Hlookupwork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5F810-DB04-4418-8F20-56DB9F61DB72}" name="Table3" displayName="Table3" ref="M3:S8" totalsRowShown="0">
  <autoFilter ref="M3:S8" xr:uid="{4E85F810-DB04-4418-8F20-56DB9F61DB72}"/>
  <tableColumns count="7">
    <tableColumn id="1" xr3:uid="{65864489-AEEF-4718-8250-102370331DD7}" name="Column1"/>
    <tableColumn id="8" xr3:uid="{D7FBBD15-9BDA-4DA0-9117-AF0CCCFD6F26}" name="Column2"/>
    <tableColumn id="3" xr3:uid="{C00E8F3D-B601-47FA-8820-75FB3788F75A}" name="Column3"/>
    <tableColumn id="4" xr3:uid="{784AF8B9-09EE-42A2-A9FB-D47DC039F6DA}" name="Column4"/>
    <tableColumn id="5" xr3:uid="{E2A16B03-E57B-49EA-83F6-37B6386722D2}" name="Column5"/>
    <tableColumn id="6" xr3:uid="{56E4A193-B068-4359-8890-91CE76AC95B4}" name="Column6"/>
    <tableColumn id="7" xr3:uid="{6F2E9D90-160E-4828-93D9-804CA1B5C171}" name="Column7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485B-86F5-4389-88F3-53A12AACF0DF}">
  <dimension ref="B2:I17"/>
  <sheetViews>
    <sheetView workbookViewId="0">
      <selection activeCell="F14" sqref="F14"/>
    </sheetView>
  </sheetViews>
  <sheetFormatPr defaultRowHeight="14.4" x14ac:dyDescent="0.3"/>
  <cols>
    <col min="2" max="2" width="5.21875" customWidth="1"/>
    <col min="3" max="3" width="28" bestFit="1" customWidth="1"/>
    <col min="4" max="4" width="31.6640625" bestFit="1" customWidth="1"/>
    <col min="5" max="5" width="5.44140625" customWidth="1"/>
    <col min="9" max="9" width="15.44140625" bestFit="1" customWidth="1"/>
  </cols>
  <sheetData>
    <row r="2" spans="2:9" x14ac:dyDescent="0.3">
      <c r="B2" s="1"/>
      <c r="C2" s="1"/>
      <c r="D2" s="1"/>
      <c r="E2" s="1"/>
    </row>
    <row r="3" spans="2:9" x14ac:dyDescent="0.3">
      <c r="B3" s="1"/>
      <c r="C3" s="1" t="s">
        <v>0</v>
      </c>
      <c r="D3" s="2">
        <v>10</v>
      </c>
      <c r="E3" s="1"/>
    </row>
    <row r="4" spans="2:9" x14ac:dyDescent="0.3">
      <c r="B4" s="1"/>
      <c r="C4" s="1" t="s">
        <v>1</v>
      </c>
      <c r="D4" s="2">
        <v>300000</v>
      </c>
      <c r="E4" s="1"/>
    </row>
    <row r="5" spans="2:9" x14ac:dyDescent="0.3">
      <c r="B5" s="1"/>
      <c r="C5" s="1" t="s">
        <v>2</v>
      </c>
      <c r="D5" s="2">
        <v>15</v>
      </c>
      <c r="E5" s="1"/>
    </row>
    <row r="6" spans="2:9" x14ac:dyDescent="0.3">
      <c r="B6" s="1"/>
      <c r="C6" s="1" t="s">
        <v>3</v>
      </c>
      <c r="D6" s="2">
        <v>5</v>
      </c>
      <c r="E6" s="1"/>
    </row>
    <row r="7" spans="2:9" x14ac:dyDescent="0.3">
      <c r="B7" s="1"/>
      <c r="C7" s="1" t="s">
        <v>4</v>
      </c>
      <c r="D7" s="2" t="s">
        <v>42</v>
      </c>
      <c r="E7" s="1"/>
    </row>
    <row r="8" spans="2:9" x14ac:dyDescent="0.3">
      <c r="B8" s="1"/>
      <c r="C8" s="1" t="s">
        <v>5</v>
      </c>
      <c r="D8" s="3"/>
      <c r="E8" s="1"/>
    </row>
    <row r="9" spans="2:9" x14ac:dyDescent="0.3">
      <c r="B9" s="1"/>
      <c r="C9" s="1" t="s">
        <v>6</v>
      </c>
      <c r="D9" s="2"/>
      <c r="E9" s="1"/>
    </row>
    <row r="10" spans="2:9" x14ac:dyDescent="0.3">
      <c r="B10" s="1"/>
      <c r="C10" s="1"/>
      <c r="D10" s="1"/>
      <c r="E10" s="1"/>
    </row>
    <row r="11" spans="2:9" x14ac:dyDescent="0.3">
      <c r="I11" s="12"/>
    </row>
    <row r="12" spans="2:9" x14ac:dyDescent="0.3">
      <c r="B12" s="13" t="s">
        <v>7</v>
      </c>
      <c r="C12" s="13"/>
      <c r="D12" s="13"/>
      <c r="E12" s="13"/>
    </row>
    <row r="13" spans="2:9" x14ac:dyDescent="0.3">
      <c r="B13" s="1"/>
      <c r="C13" s="4" t="s">
        <v>8</v>
      </c>
      <c r="D13" s="2">
        <v>152</v>
      </c>
      <c r="E13" s="1"/>
    </row>
    <row r="14" spans="2:9" x14ac:dyDescent="0.3">
      <c r="B14" s="1"/>
      <c r="C14" s="4" t="s">
        <v>9</v>
      </c>
      <c r="D14" s="2">
        <v>0</v>
      </c>
      <c r="E14" s="1"/>
    </row>
    <row r="15" spans="2:9" x14ac:dyDescent="0.3">
      <c r="B15" s="1"/>
      <c r="C15" s="4" t="s">
        <v>10</v>
      </c>
      <c r="D15" t="e">
        <f>D13/D14</f>
        <v>#DIV/0!</v>
      </c>
      <c r="E15" s="1"/>
    </row>
    <row r="16" spans="2:9" x14ac:dyDescent="0.3">
      <c r="B16" s="1"/>
      <c r="C16" s="4" t="s">
        <v>11</v>
      </c>
      <c r="D16" s="2" t="str">
        <f>IFERROR(D13/D14, "Please write a non-zero denominator")</f>
        <v>Please write a non-zero denominator</v>
      </c>
      <c r="E16" s="1"/>
    </row>
    <row r="17" spans="2:5" x14ac:dyDescent="0.3">
      <c r="B17" s="1"/>
      <c r="C17" s="1"/>
      <c r="D17" s="1"/>
      <c r="E17" s="1"/>
    </row>
  </sheetData>
  <mergeCells count="1">
    <mergeCell ref="B12:E12"/>
  </mergeCells>
  <dataValidations count="6">
    <dataValidation type="whole" operator="greaterThan" allowBlank="1" showInputMessage="1" showErrorMessage="1" errorTitle="Only Positive Integers Please!" error="Negative number, Zero and Floats are not allowed..." promptTitle="Rules for Quantity" prompt="We accept only positive whole numbers as quantity." sqref="D3" xr:uid="{FF51B135-C7A1-44B1-9297-8042700736C4}">
      <formula1>0</formula1>
    </dataValidation>
    <dataValidation type="decimal" errorStyle="information" operator="lessThanOrEqual" allowBlank="1" showInputMessage="1" showErrorMessage="1" sqref="D4" xr:uid="{03DDFF92-7085-4A3A-A05D-4CDB58E5C6BA}">
      <formula1>100000</formula1>
    </dataValidation>
    <dataValidation type="decimal" allowBlank="1" showInputMessage="1" showErrorMessage="1" sqref="D5" xr:uid="{7186E933-E8EC-4CAC-974A-FCF69BA9212C}">
      <formula1>-273</formula1>
      <formula2>2500</formula2>
    </dataValidation>
    <dataValidation type="list" allowBlank="1" showInputMessage="1" showErrorMessage="1" sqref="D6" xr:uid="{6320BA0D-6090-4E6B-A328-90D574DC7E3B}">
      <formula1>"1, 2, 3, 4, 5, 6"</formula1>
    </dataValidation>
    <dataValidation type="list" allowBlank="1" showInputMessage="1" showErrorMessage="1" sqref="D7" xr:uid="{4823E580-A26B-454E-8D84-99B97ABD0833}">
      <formula1>"Sun, Mon, Tue, Wed, Thu, Fri, Sat"</formula1>
    </dataValidation>
    <dataValidation type="date" allowBlank="1" showInputMessage="1" showErrorMessage="1" sqref="D9" xr:uid="{834638AA-36DF-45A4-AD01-9491A728C63D}">
      <formula1>1</formula1>
      <formula2>NOW()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091BBF-7DCE-460C-9AE5-4CD8A1363CD2}">
          <x14:formula1>
            <xm:f>Sheet5!$A$2:$A$1048576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F823-EC1A-4127-B931-6006AB8A7AD6}">
  <dimension ref="A1:A11"/>
  <sheetViews>
    <sheetView workbookViewId="0">
      <selection activeCell="A12" sqref="A12"/>
    </sheetView>
  </sheetViews>
  <sheetFormatPr defaultRowHeight="14.4" x14ac:dyDescent="0.3"/>
  <sheetData>
    <row r="1" spans="1:1" x14ac:dyDescent="0.3">
      <c r="A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  <row r="7" spans="1:1" x14ac:dyDescent="0.3">
      <c r="A7" t="s">
        <v>49</v>
      </c>
    </row>
    <row r="8" spans="1:1" x14ac:dyDescent="0.3">
      <c r="A8" t="s">
        <v>50</v>
      </c>
    </row>
    <row r="9" spans="1:1" x14ac:dyDescent="0.3">
      <c r="A9" t="s">
        <v>51</v>
      </c>
    </row>
    <row r="10" spans="1:1" x14ac:dyDescent="0.3">
      <c r="A10" t="s">
        <v>52</v>
      </c>
    </row>
    <row r="11" spans="1:1" x14ac:dyDescent="0.3">
      <c r="A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5720-DF61-4F5E-8529-4EC60A36E3E0}">
  <dimension ref="A1:F8"/>
  <sheetViews>
    <sheetView workbookViewId="0">
      <selection activeCell="E14" sqref="E14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2" bestFit="1" customWidth="1"/>
    <col min="6" max="6" width="13.88671875" bestFit="1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>
        <v>79</v>
      </c>
      <c r="B2" t="s">
        <v>18</v>
      </c>
      <c r="C2">
        <v>86</v>
      </c>
      <c r="D2">
        <v>68.7</v>
      </c>
      <c r="E2">
        <v>64.8</v>
      </c>
      <c r="F2">
        <v>75.599999999999994</v>
      </c>
    </row>
    <row r="3" spans="1:6" x14ac:dyDescent="0.3">
      <c r="A3">
        <v>261</v>
      </c>
      <c r="B3" t="s">
        <v>19</v>
      </c>
      <c r="C3">
        <v>80</v>
      </c>
      <c r="D3">
        <v>60.5</v>
      </c>
      <c r="E3">
        <v>62</v>
      </c>
      <c r="F3">
        <v>61</v>
      </c>
    </row>
    <row r="4" spans="1:6" x14ac:dyDescent="0.3">
      <c r="A4">
        <v>2766</v>
      </c>
      <c r="B4" t="s">
        <v>20</v>
      </c>
      <c r="C4">
        <v>13</v>
      </c>
      <c r="D4">
        <v>72.3</v>
      </c>
      <c r="E4">
        <v>82.9</v>
      </c>
      <c r="F4">
        <v>61.05</v>
      </c>
    </row>
    <row r="6" spans="1:6" x14ac:dyDescent="0.3">
      <c r="A6">
        <v>281</v>
      </c>
      <c r="B6" t="s">
        <v>21</v>
      </c>
      <c r="C6">
        <v>46</v>
      </c>
      <c r="D6">
        <v>52.2</v>
      </c>
      <c r="E6">
        <v>78.400000000000006</v>
      </c>
      <c r="F6">
        <v>72</v>
      </c>
    </row>
    <row r="7" spans="1:6" x14ac:dyDescent="0.3">
      <c r="A7">
        <v>2744</v>
      </c>
      <c r="B7" t="s">
        <v>22</v>
      </c>
      <c r="C7">
        <v>2</v>
      </c>
      <c r="D7">
        <v>68.8</v>
      </c>
      <c r="E7">
        <v>55.8</v>
      </c>
      <c r="F7">
        <v>65.3</v>
      </c>
    </row>
    <row r="8" spans="1:6" x14ac:dyDescent="0.3">
      <c r="A8">
        <v>2742</v>
      </c>
      <c r="B8" t="s">
        <v>23</v>
      </c>
      <c r="C8">
        <v>1.5</v>
      </c>
      <c r="D8">
        <v>64.900000000000006</v>
      </c>
      <c r="E8">
        <v>75</v>
      </c>
      <c r="F8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C463-96D1-493D-8625-C983B39855B6}">
  <dimension ref="A1:L30"/>
  <sheetViews>
    <sheetView workbookViewId="0">
      <selection activeCell="A2" sqref="A2"/>
    </sheetView>
  </sheetViews>
  <sheetFormatPr defaultRowHeight="14.4" x14ac:dyDescent="0.3"/>
  <cols>
    <col min="1" max="1" width="11.77734375" bestFit="1" customWidth="1"/>
    <col min="2" max="2" width="21.6640625" bestFit="1" customWidth="1"/>
    <col min="3" max="3" width="13.88671875" bestFit="1" customWidth="1"/>
    <col min="4" max="4" width="13.21875" bestFit="1" customWidth="1"/>
    <col min="5" max="5" width="22.33203125" bestFit="1" customWidth="1"/>
    <col min="6" max="6" width="17.6640625" bestFit="1" customWidth="1"/>
    <col min="7" max="7" width="12.21875" bestFit="1" customWidth="1"/>
    <col min="10" max="10" width="13.88671875" bestFit="1" customWidth="1"/>
    <col min="11" max="11" width="16" bestFit="1" customWidth="1"/>
  </cols>
  <sheetData>
    <row r="1" spans="1:12" x14ac:dyDescent="0.3">
      <c r="A1" t="s">
        <v>13</v>
      </c>
      <c r="B1" t="s">
        <v>24</v>
      </c>
      <c r="C1" t="s">
        <v>15</v>
      </c>
      <c r="D1" t="s">
        <v>14</v>
      </c>
      <c r="E1" t="s">
        <v>17</v>
      </c>
      <c r="F1" t="s">
        <v>12</v>
      </c>
      <c r="G1" t="s">
        <v>12</v>
      </c>
    </row>
    <row r="2" spans="1:12" x14ac:dyDescent="0.3">
      <c r="A2" t="s">
        <v>18</v>
      </c>
      <c r="B2">
        <v>2590</v>
      </c>
      <c r="C2">
        <f>VLOOKUP($A2, Population!$B$1:$F$8, 3, FALSE)</f>
        <v>68.7</v>
      </c>
      <c r="D2">
        <f>VLOOKUP($A2, Population!$B$1:$F$8, 4, FALSE)</f>
        <v>64.8</v>
      </c>
      <c r="E2">
        <f>VLOOKUP($A2, Population!$B$1:$F$8, 5, FALSE)</f>
        <v>75.599999999999994</v>
      </c>
      <c r="F2" s="16" t="s">
        <v>54</v>
      </c>
      <c r="I2" s="14" t="s">
        <v>25</v>
      </c>
      <c r="J2" s="14"/>
      <c r="K2" s="14"/>
      <c r="L2" s="14"/>
    </row>
    <row r="3" spans="1:12" x14ac:dyDescent="0.3">
      <c r="A3" t="s">
        <v>22</v>
      </c>
      <c r="B3">
        <v>3196</v>
      </c>
      <c r="C3">
        <f>VLOOKUP($A3, Population!$B$1:$F$8, 3, FALSE)</f>
        <v>68.8</v>
      </c>
      <c r="D3">
        <f>VLOOKUP($A3, Population!$B$1:$F$8, 4, FALSE)</f>
        <v>55.8</v>
      </c>
      <c r="E3">
        <f>VLOOKUP($A3, Population!$B$1:$F$8, 5, FALSE)</f>
        <v>65.3</v>
      </c>
      <c r="F3" s="16"/>
      <c r="I3" s="5"/>
      <c r="J3" s="5"/>
      <c r="K3" s="5"/>
      <c r="L3" s="5"/>
    </row>
    <row r="4" spans="1:12" x14ac:dyDescent="0.3">
      <c r="A4" t="s">
        <v>23</v>
      </c>
      <c r="B4">
        <v>2400</v>
      </c>
      <c r="C4">
        <f>VLOOKUP($A4, Population!$B$1:$F$8, 3, FALSE)</f>
        <v>64.900000000000006</v>
      </c>
      <c r="D4">
        <f>VLOOKUP($A4, Population!$B$1:$F$8, 4, FALSE)</f>
        <v>75</v>
      </c>
      <c r="E4">
        <f>VLOOKUP($A4, Population!$B$1:$F$8, 5, FALSE)</f>
        <v>70</v>
      </c>
      <c r="F4" s="16"/>
      <c r="I4" s="5"/>
      <c r="J4" s="5" t="s">
        <v>13</v>
      </c>
      <c r="K4" s="2" t="s">
        <v>23</v>
      </c>
      <c r="L4" s="5"/>
    </row>
    <row r="5" spans="1:12" x14ac:dyDescent="0.3">
      <c r="A5" t="s">
        <v>20</v>
      </c>
      <c r="B5">
        <v>2530</v>
      </c>
      <c r="C5">
        <f>VLOOKUP($A5, Population!$B$1:$F$8, 3, FALSE)</f>
        <v>72.3</v>
      </c>
      <c r="D5">
        <f>VLOOKUP($A5, Population!$B$1:$F$8, 4, FALSE)</f>
        <v>82.9</v>
      </c>
      <c r="E5">
        <f>VLOOKUP($A5, Population!$B$1:$F$8, 5, FALSE)</f>
        <v>61.05</v>
      </c>
      <c r="F5" s="16"/>
      <c r="I5" s="5"/>
      <c r="J5" s="5" t="s">
        <v>24</v>
      </c>
      <c r="K5" s="2">
        <f>VLOOKUP($K$4, $A$1:$E$7, 2,FALSE)</f>
        <v>2400</v>
      </c>
      <c r="L5" s="5"/>
    </row>
    <row r="6" spans="1:12" x14ac:dyDescent="0.3">
      <c r="A6" t="s">
        <v>21</v>
      </c>
      <c r="B6">
        <v>2900</v>
      </c>
      <c r="C6">
        <f>VLOOKUP($A6, Population!$B$1:$F$8, 3, FALSE)</f>
        <v>52.2</v>
      </c>
      <c r="D6">
        <f>VLOOKUP($A6, Population!$B$1:$F$8, 4, FALSE)</f>
        <v>78.400000000000006</v>
      </c>
      <c r="E6">
        <f>VLOOKUP($A6, Population!$B$1:$F$8, 5, FALSE)</f>
        <v>72</v>
      </c>
      <c r="F6" s="16"/>
      <c r="I6" s="5"/>
      <c r="J6" s="5" t="s">
        <v>26</v>
      </c>
      <c r="K6" s="2">
        <f>VLOOKUP($K$4, $A$1:$E$7, 3,FALSE)</f>
        <v>64.900000000000006</v>
      </c>
      <c r="L6" s="5"/>
    </row>
    <row r="7" spans="1:12" x14ac:dyDescent="0.3">
      <c r="A7" t="s">
        <v>19</v>
      </c>
      <c r="B7">
        <v>2850</v>
      </c>
      <c r="C7">
        <f>VLOOKUP($A7, Population!$B$1:$F$8, 3, FALSE)</f>
        <v>60.5</v>
      </c>
      <c r="D7">
        <f>VLOOKUP($A7, Population!$B$1:$F$8, 4, FALSE)</f>
        <v>62</v>
      </c>
      <c r="E7">
        <f>VLOOKUP($A7, Population!$B$1:$F$8, 5, FALSE)</f>
        <v>61</v>
      </c>
      <c r="F7" s="16"/>
      <c r="I7" s="5"/>
      <c r="J7" s="5" t="s">
        <v>14</v>
      </c>
      <c r="K7" s="2">
        <f>VLOOKUP($K$4, $A$1:$E$7, 4,FALSE)</f>
        <v>75</v>
      </c>
      <c r="L7" s="5"/>
    </row>
    <row r="8" spans="1:12" x14ac:dyDescent="0.3">
      <c r="I8" s="5"/>
      <c r="J8" s="5" t="s">
        <v>17</v>
      </c>
      <c r="K8" s="2">
        <f>VLOOKUP($K$4, $A$1:$E$7, 5,FALSE)</f>
        <v>70</v>
      </c>
      <c r="L8" s="5"/>
    </row>
    <row r="9" spans="1:12" x14ac:dyDescent="0.3">
      <c r="I9" s="5"/>
      <c r="J9" s="5"/>
      <c r="K9" s="5"/>
      <c r="L9" s="5"/>
    </row>
    <row r="11" spans="1:12" x14ac:dyDescent="0.3">
      <c r="A11" s="14" t="s">
        <v>27</v>
      </c>
      <c r="B11" s="14"/>
      <c r="C11" s="14"/>
      <c r="E11" s="14" t="s">
        <v>28</v>
      </c>
      <c r="F11" s="14"/>
      <c r="G11" s="14"/>
    </row>
    <row r="12" spans="1:12" x14ac:dyDescent="0.3">
      <c r="B12" s="6" t="s">
        <v>13</v>
      </c>
      <c r="C12" s="6" t="s">
        <v>22</v>
      </c>
      <c r="F12" s="6" t="s">
        <v>29</v>
      </c>
      <c r="G12" s="6">
        <v>3</v>
      </c>
    </row>
    <row r="13" spans="1:12" x14ac:dyDescent="0.3">
      <c r="B13" s="6" t="s">
        <v>29</v>
      </c>
      <c r="C13" s="6">
        <f>MATCH($C$12, $A$2:$A$7, 0)</f>
        <v>2</v>
      </c>
      <c r="F13" s="6" t="s">
        <v>13</v>
      </c>
      <c r="G13" s="6" t="str">
        <f>INDEX(A2:A7, G12)</f>
        <v>Palanpur</v>
      </c>
    </row>
    <row r="15" spans="1:12" x14ac:dyDescent="0.3">
      <c r="B15" s="6" t="s">
        <v>30</v>
      </c>
      <c r="C15" s="6" t="s">
        <v>14</v>
      </c>
      <c r="F15" s="6" t="s">
        <v>31</v>
      </c>
      <c r="G15" s="6">
        <v>4</v>
      </c>
    </row>
    <row r="16" spans="1:12" x14ac:dyDescent="0.3">
      <c r="B16" s="6" t="s">
        <v>32</v>
      </c>
      <c r="C16" s="6">
        <f>MATCH($C$15, $B$1:$E$1, 0)</f>
        <v>3</v>
      </c>
      <c r="F16" s="6" t="s">
        <v>30</v>
      </c>
      <c r="G16" s="6" t="str">
        <f>INDEX(A1:E1, 1, G15)</f>
        <v>Population</v>
      </c>
    </row>
    <row r="18" spans="1:7" x14ac:dyDescent="0.3">
      <c r="B18" s="17" t="s">
        <v>55</v>
      </c>
      <c r="C18" s="17"/>
      <c r="F18" s="6" t="s">
        <v>33</v>
      </c>
      <c r="G18" s="6">
        <v>3</v>
      </c>
    </row>
    <row r="19" spans="1:7" x14ac:dyDescent="0.3">
      <c r="B19" s="15" t="e">
        <f>MATCH(75, A1:E7, 0)</f>
        <v>#N/A</v>
      </c>
      <c r="C19" s="15"/>
      <c r="F19" s="6" t="s">
        <v>34</v>
      </c>
      <c r="G19" s="6">
        <v>1</v>
      </c>
    </row>
    <row r="20" spans="1:7" x14ac:dyDescent="0.3">
      <c r="F20" s="6" t="s">
        <v>35</v>
      </c>
      <c r="G20" s="6">
        <f>INDEX(B2:E7, G18, G19)</f>
        <v>2400</v>
      </c>
    </row>
    <row r="24" spans="1:7" x14ac:dyDescent="0.3">
      <c r="A24" s="7"/>
      <c r="B24" s="7"/>
      <c r="C24" s="7"/>
      <c r="D24" s="7"/>
    </row>
    <row r="25" spans="1:7" x14ac:dyDescent="0.3">
      <c r="A25" s="7"/>
      <c r="B25" s="7" t="s">
        <v>36</v>
      </c>
      <c r="C25" s="8" t="s">
        <v>23</v>
      </c>
      <c r="D25" s="7"/>
      <c r="E25" t="s">
        <v>37</v>
      </c>
      <c r="F25" s="6">
        <f>MATCH($C$25, $A$2:$A$7, 0)</f>
        <v>3</v>
      </c>
    </row>
    <row r="26" spans="1:7" x14ac:dyDescent="0.3">
      <c r="A26" s="7"/>
      <c r="B26" s="7" t="s">
        <v>30</v>
      </c>
      <c r="C26" s="9" t="s">
        <v>17</v>
      </c>
      <c r="D26" s="7"/>
      <c r="E26" t="s">
        <v>38</v>
      </c>
      <c r="F26" s="6">
        <f>MATCH($C$26, $B$1:$E$1, 0)</f>
        <v>4</v>
      </c>
    </row>
    <row r="27" spans="1:7" x14ac:dyDescent="0.3">
      <c r="A27" s="7"/>
      <c r="B27" s="7" t="s">
        <v>39</v>
      </c>
      <c r="C27">
        <f>INDEX($B$2:$E$7, F25, F26)</f>
        <v>70</v>
      </c>
      <c r="D27" s="7"/>
    </row>
    <row r="28" spans="1:7" x14ac:dyDescent="0.3">
      <c r="A28" s="7"/>
      <c r="B28" s="7" t="s">
        <v>40</v>
      </c>
      <c r="C28" s="10">
        <f>INDEX(B2:E7, MATCH(C25, A2:A7, 0), MATCH(C26, B1:E1, 0))</f>
        <v>70</v>
      </c>
      <c r="D28" s="7"/>
    </row>
    <row r="29" spans="1:7" x14ac:dyDescent="0.3">
      <c r="A29" s="7"/>
      <c r="B29" s="7" t="s">
        <v>41</v>
      </c>
      <c r="C29" s="11">
        <f>VLOOKUP(C25, A2:E7, MATCH(C26, A1:E1, 0),FALSE)</f>
        <v>70</v>
      </c>
      <c r="D29" s="7"/>
    </row>
    <row r="30" spans="1:7" x14ac:dyDescent="0.3">
      <c r="A30" s="7"/>
      <c r="B30" s="7"/>
      <c r="C30" s="7"/>
      <c r="D30" s="7"/>
    </row>
  </sheetData>
  <mergeCells count="6">
    <mergeCell ref="I2:L2"/>
    <mergeCell ref="A11:C11"/>
    <mergeCell ref="E11:G11"/>
    <mergeCell ref="B18:C18"/>
    <mergeCell ref="B19:C19"/>
    <mergeCell ref="F2:F7"/>
  </mergeCells>
  <dataValidations count="2">
    <dataValidation type="list" allowBlank="1" showInputMessage="1" showErrorMessage="1" sqref="K4 C12 C25" xr:uid="{A5A160D2-A8D8-441D-98C7-80CABFAF6EF2}">
      <formula1>$A$2:$A$7</formula1>
    </dataValidation>
    <dataValidation type="list" allowBlank="1" showInputMessage="1" showErrorMessage="1" sqref="C15 C26" xr:uid="{A52632F4-FAA5-4B5C-AFF1-65492F6C03D5}">
      <formula1>$B$1:$E$1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FEC0-E119-4BE0-8526-FBB4EDCC1140}">
  <dimension ref="B3:S14"/>
  <sheetViews>
    <sheetView tabSelected="1" workbookViewId="0">
      <selection activeCell="H19" sqref="H19"/>
    </sheetView>
  </sheetViews>
  <sheetFormatPr defaultRowHeight="14.4" x14ac:dyDescent="0.3"/>
  <cols>
    <col min="2" max="2" width="9.5546875" bestFit="1" customWidth="1"/>
    <col min="3" max="3" width="12" bestFit="1" customWidth="1"/>
    <col min="4" max="4" width="9.21875" bestFit="1" customWidth="1"/>
    <col min="5" max="5" width="8.109375" bestFit="1" customWidth="1"/>
    <col min="8" max="9" width="12" bestFit="1" customWidth="1"/>
    <col min="10" max="10" width="9.21875" bestFit="1" customWidth="1"/>
    <col min="11" max="11" width="8.109375" bestFit="1" customWidth="1"/>
    <col min="13" max="19" width="10.44140625" customWidth="1"/>
  </cols>
  <sheetData>
    <row r="3" spans="2:19" x14ac:dyDescent="0.3">
      <c r="B3" s="21" t="s">
        <v>43</v>
      </c>
      <c r="C3" s="22" t="s">
        <v>56</v>
      </c>
      <c r="D3" s="22" t="s">
        <v>57</v>
      </c>
      <c r="E3" s="23" t="s">
        <v>58</v>
      </c>
      <c r="H3" s="20" t="s">
        <v>43</v>
      </c>
      <c r="I3" s="20" t="s">
        <v>56</v>
      </c>
      <c r="J3" s="20" t="s">
        <v>57</v>
      </c>
      <c r="K3" s="20" t="s">
        <v>58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</row>
    <row r="4" spans="2:19" ht="15.6" x14ac:dyDescent="0.3">
      <c r="B4" s="24" t="s">
        <v>59</v>
      </c>
      <c r="C4" s="25">
        <v>200</v>
      </c>
      <c r="D4" s="25">
        <v>97</v>
      </c>
      <c r="E4" s="26">
        <v>98</v>
      </c>
      <c r="H4" s="30" t="s">
        <v>59</v>
      </c>
      <c r="I4" s="30">
        <v>200</v>
      </c>
      <c r="J4" s="30">
        <v>97</v>
      </c>
      <c r="K4" s="30">
        <v>98</v>
      </c>
    </row>
    <row r="5" spans="2:19" ht="15.6" x14ac:dyDescent="0.3">
      <c r="B5" s="24" t="s">
        <v>60</v>
      </c>
      <c r="C5" s="25">
        <v>20</v>
      </c>
      <c r="D5" s="25">
        <v>22</v>
      </c>
      <c r="E5" s="26">
        <v>21</v>
      </c>
      <c r="H5" s="30" t="s">
        <v>60</v>
      </c>
      <c r="I5" s="30">
        <v>20</v>
      </c>
      <c r="J5" s="30">
        <v>22</v>
      </c>
      <c r="K5" s="30">
        <v>21</v>
      </c>
    </row>
    <row r="6" spans="2:19" ht="15.6" x14ac:dyDescent="0.3">
      <c r="B6" s="24" t="s">
        <v>61</v>
      </c>
      <c r="C6" s="25">
        <v>32</v>
      </c>
      <c r="D6" s="25">
        <v>35</v>
      </c>
      <c r="E6" s="26">
        <v>25</v>
      </c>
      <c r="H6" s="30" t="s">
        <v>61</v>
      </c>
      <c r="I6" s="30">
        <v>32</v>
      </c>
      <c r="J6" s="30">
        <v>35</v>
      </c>
      <c r="K6" s="30">
        <v>25</v>
      </c>
    </row>
    <row r="7" spans="2:19" ht="15.6" x14ac:dyDescent="0.3">
      <c r="B7" s="24" t="s">
        <v>62</v>
      </c>
      <c r="C7" s="25">
        <v>100</v>
      </c>
      <c r="D7" s="25">
        <v>25</v>
      </c>
      <c r="E7" s="26">
        <v>54</v>
      </c>
      <c r="H7" s="30" t="s">
        <v>62</v>
      </c>
      <c r="I7" s="30">
        <v>100</v>
      </c>
      <c r="J7" s="30">
        <v>25</v>
      </c>
      <c r="K7" s="30">
        <v>54</v>
      </c>
    </row>
    <row r="8" spans="2:19" ht="15.6" x14ac:dyDescent="0.3">
      <c r="B8" s="27" t="s">
        <v>64</v>
      </c>
      <c r="C8" s="28">
        <v>125</v>
      </c>
      <c r="D8" s="28">
        <v>20</v>
      </c>
      <c r="E8" s="29">
        <v>14</v>
      </c>
      <c r="H8" s="30" t="s">
        <v>63</v>
      </c>
      <c r="I8" s="30">
        <v>125</v>
      </c>
      <c r="J8" s="30">
        <v>20</v>
      </c>
      <c r="K8" s="30">
        <v>14</v>
      </c>
    </row>
    <row r="11" spans="2:19" ht="15.6" x14ac:dyDescent="0.3">
      <c r="B11" s="18" t="s">
        <v>65</v>
      </c>
      <c r="C11" s="19" t="s">
        <v>58</v>
      </c>
      <c r="H11" s="20" t="s">
        <v>43</v>
      </c>
      <c r="I11" s="30" t="s">
        <v>59</v>
      </c>
      <c r="J11" s="30" t="s">
        <v>60</v>
      </c>
      <c r="K11" s="30" t="s">
        <v>61</v>
      </c>
      <c r="L11" s="30" t="s">
        <v>62</v>
      </c>
      <c r="M11" s="30" t="s">
        <v>63</v>
      </c>
    </row>
    <row r="12" spans="2:19" ht="15.6" x14ac:dyDescent="0.3">
      <c r="B12" s="18" t="s">
        <v>30</v>
      </c>
      <c r="C12" s="19" t="s">
        <v>61</v>
      </c>
      <c r="E12" t="s">
        <v>66</v>
      </c>
      <c r="F12">
        <f>MATCH(C12, Table_57[[#All],[Name]], 0)</f>
        <v>4</v>
      </c>
      <c r="H12" s="20" t="s">
        <v>56</v>
      </c>
      <c r="I12" s="30">
        <v>200</v>
      </c>
      <c r="J12" s="30">
        <v>20</v>
      </c>
      <c r="K12" s="30">
        <v>32</v>
      </c>
      <c r="L12" s="30">
        <v>100</v>
      </c>
      <c r="M12" s="30">
        <v>125</v>
      </c>
    </row>
    <row r="13" spans="2:19" ht="15.6" x14ac:dyDescent="0.3">
      <c r="B13" s="18" t="s">
        <v>39</v>
      </c>
      <c r="C13" s="19">
        <f>HLOOKUP(C11, Table_57[[#All],[SR Tendulkar]:[V Kohli]], F12, FALSE)</f>
        <v>25</v>
      </c>
      <c r="H13" s="20" t="s">
        <v>57</v>
      </c>
      <c r="I13" s="30">
        <v>97</v>
      </c>
      <c r="J13" s="30">
        <v>22</v>
      </c>
      <c r="K13" s="30">
        <v>35</v>
      </c>
      <c r="L13" s="30">
        <v>25</v>
      </c>
      <c r="M13" s="30">
        <v>20</v>
      </c>
    </row>
    <row r="14" spans="2:19" ht="15.6" x14ac:dyDescent="0.3">
      <c r="B14" s="18" t="s">
        <v>67</v>
      </c>
      <c r="C14" s="19">
        <f>HLOOKUP(C11, Table_57[[#All],[SR Tendulkar]:[V Kohli]], MATCH(C12, Table_57[[#All],[Name]], 0), FALSE)</f>
        <v>25</v>
      </c>
      <c r="H14" s="20" t="s">
        <v>58</v>
      </c>
      <c r="I14" s="30">
        <v>98</v>
      </c>
      <c r="J14" s="30">
        <v>21</v>
      </c>
      <c r="K14" s="30">
        <v>25</v>
      </c>
      <c r="L14" s="30">
        <v>54</v>
      </c>
      <c r="M14" s="30">
        <v>14</v>
      </c>
    </row>
  </sheetData>
  <phoneticPr fontId="5" type="noConversion"/>
  <dataValidations count="2">
    <dataValidation type="list" allowBlank="1" showInputMessage="1" showErrorMessage="1" sqref="C12" xr:uid="{D73FF8E7-6372-421C-9923-17C9E37D1852}">
      <formula1>$B$4:$B$8</formula1>
    </dataValidation>
    <dataValidation type="list" allowBlank="1" showInputMessage="1" showErrorMessage="1" sqref="C11" xr:uid="{9ADA9F33-063F-43F6-AD86-1057DF5639A7}">
      <formula1>$C$3:$E$3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Validation</vt:lpstr>
      <vt:lpstr>Sheet5</vt:lpstr>
      <vt:lpstr>Population</vt:lpstr>
      <vt:lpstr>Per Capita Income</vt:lpstr>
      <vt:lpstr>HLookup &amp; 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2026-03-18T12:24:44Z</dcterms:created>
  <dcterms:modified xsi:type="dcterms:W3CDTF">2026-03-19T13:15:19Z</dcterms:modified>
</cp:coreProperties>
</file>