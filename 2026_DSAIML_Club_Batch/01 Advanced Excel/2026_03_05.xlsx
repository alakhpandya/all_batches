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ll_batches\2026_DSAIML_Club_Batch\01 Advanced Excel\"/>
    </mc:Choice>
  </mc:AlternateContent>
  <xr:revisionPtr revIDLastSave="0" documentId="13_ncr:1_{AFF92847-221F-4D63-9C37-39456401876B}" xr6:coauthVersionLast="47" xr6:coauthVersionMax="47" xr10:uidLastSave="{00000000-0000-0000-0000-000000000000}"/>
  <bookViews>
    <workbookView xWindow="-108" yWindow="-108" windowWidth="23256" windowHeight="12576" activeTab="3" xr2:uid="{37280455-502C-4E64-A1C4-AB23CF952D93}"/>
  </bookViews>
  <sheets>
    <sheet name="Sheet1" sheetId="1" r:id="rId1"/>
    <sheet name="Consolidated Marks Sheet" sheetId="4" r:id="rId2"/>
    <sheet name="Vraj Patel" sheetId="2" r:id="rId3"/>
    <sheet name="Pushparaj Chavda" sheetId="3" r:id="rId4"/>
    <sheet name="Krushnam Patel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4" l="1"/>
  <c r="B4" i="4"/>
  <c r="D17" i="5"/>
  <c r="D19" i="5" s="1"/>
  <c r="D20" i="5" s="1"/>
  <c r="C17" i="5"/>
  <c r="C22" i="5" s="1"/>
  <c r="D15" i="5"/>
  <c r="D16" i="5" s="1"/>
  <c r="C15" i="5"/>
  <c r="C16" i="5" s="1"/>
  <c r="E13" i="5"/>
  <c r="E12" i="5"/>
  <c r="E10" i="5"/>
  <c r="E9" i="5"/>
  <c r="E8" i="5"/>
  <c r="E7" i="5"/>
  <c r="E6" i="5"/>
  <c r="C3" i="4"/>
  <c r="C2" i="4"/>
  <c r="B3" i="4"/>
  <c r="B2" i="4"/>
  <c r="D17" i="3"/>
  <c r="D19" i="3" s="1"/>
  <c r="D20" i="3" s="1"/>
  <c r="C17" i="3"/>
  <c r="C22" i="3" s="1"/>
  <c r="D15" i="3"/>
  <c r="D16" i="3" s="1"/>
  <c r="C15" i="3"/>
  <c r="C16" i="3" s="1"/>
  <c r="E13" i="3"/>
  <c r="E12" i="3"/>
  <c r="E10" i="3"/>
  <c r="E9" i="3"/>
  <c r="E8" i="3"/>
  <c r="E7" i="3"/>
  <c r="E6" i="3"/>
  <c r="D24" i="2"/>
  <c r="E24" i="2"/>
  <c r="C24" i="2"/>
  <c r="D23" i="2"/>
  <c r="E23" i="2"/>
  <c r="C23" i="2"/>
  <c r="D22" i="2"/>
  <c r="E22" i="2"/>
  <c r="C22" i="2"/>
  <c r="C21" i="2"/>
  <c r="D21" i="2"/>
  <c r="D20" i="2"/>
  <c r="E20" i="2"/>
  <c r="C20" i="2"/>
  <c r="E21" i="2"/>
  <c r="D19" i="2"/>
  <c r="E19" i="2"/>
  <c r="C19" i="2"/>
  <c r="D18" i="2"/>
  <c r="E18" i="2"/>
  <c r="C18" i="2"/>
  <c r="E17" i="2"/>
  <c r="D17" i="2"/>
  <c r="C17" i="2"/>
  <c r="E16" i="2"/>
  <c r="C16" i="2"/>
  <c r="E12" i="2"/>
  <c r="E13" i="2"/>
  <c r="D15" i="2"/>
  <c r="D16" i="2" s="1"/>
  <c r="E6" i="2"/>
  <c r="E15" i="2" s="1"/>
  <c r="E7" i="2"/>
  <c r="E8" i="2"/>
  <c r="E9" i="2"/>
  <c r="E10" i="2"/>
  <c r="C15" i="2"/>
  <c r="E17" i="5" l="1"/>
  <c r="E24" i="5" s="1"/>
  <c r="E15" i="5"/>
  <c r="E16" i="5" s="1"/>
  <c r="E21" i="5" s="1"/>
  <c r="E19" i="5"/>
  <c r="E20" i="5" s="1"/>
  <c r="D22" i="5"/>
  <c r="E22" i="5"/>
  <c r="C23" i="5"/>
  <c r="C18" i="5"/>
  <c r="D23" i="5"/>
  <c r="D18" i="5"/>
  <c r="C21" i="5"/>
  <c r="E23" i="5"/>
  <c r="E18" i="5"/>
  <c r="D21" i="5"/>
  <c r="C24" i="5"/>
  <c r="C19" i="5"/>
  <c r="C20" i="5" s="1"/>
  <c r="D24" i="5"/>
  <c r="E15" i="3"/>
  <c r="E16" i="3" s="1"/>
  <c r="E21" i="3" s="1"/>
  <c r="C18" i="3"/>
  <c r="D22" i="3"/>
  <c r="E17" i="3"/>
  <c r="C23" i="3"/>
  <c r="D23" i="3"/>
  <c r="D18" i="3"/>
  <c r="C21" i="3"/>
  <c r="C24" i="3"/>
  <c r="D21" i="3"/>
  <c r="C19" i="3"/>
  <c r="C20" i="3" s="1"/>
  <c r="D24" i="3"/>
  <c r="E24" i="3" l="1"/>
  <c r="E18" i="3"/>
  <c r="E22" i="3"/>
  <c r="E23" i="3"/>
  <c r="E19" i="3"/>
  <c r="E20" i="3" s="1"/>
</calcChain>
</file>

<file path=xl/sharedStrings.xml><?xml version="1.0" encoding="utf-8"?>
<sst xmlns="http://schemas.openxmlformats.org/spreadsheetml/2006/main" count="145" uniqueCount="61">
  <si>
    <t>Sr. No.</t>
  </si>
  <si>
    <t>Full Name</t>
  </si>
  <si>
    <t>First Name</t>
  </si>
  <si>
    <t>Last Name</t>
  </si>
  <si>
    <t>Mobile No.</t>
  </si>
  <si>
    <t>Address</t>
  </si>
  <si>
    <t>Exam Date</t>
  </si>
  <si>
    <t>Krushnam</t>
  </si>
  <si>
    <t>Patel</t>
  </si>
  <si>
    <t>Krushnam Niwas, Opp Mayer's Bungalow, Law Garden, Ahmedabad</t>
  </si>
  <si>
    <t>Arjun</t>
  </si>
  <si>
    <t>Subramanyam Swami</t>
  </si>
  <si>
    <t>Mosam</t>
  </si>
  <si>
    <t>Mosam's Home, 
Beside C.M.House, 
Gandinagar</t>
  </si>
  <si>
    <t>N/A</t>
  </si>
  <si>
    <t>Contact Information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</si>
  <si>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</si>
  <si>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</si>
  <si>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</si>
  <si>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</si>
  <si>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</si>
  <si>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</si>
  <si>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</si>
  <si>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</si>
  <si>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Mon</t>
  </si>
  <si>
    <t>Tue</t>
  </si>
  <si>
    <t>Wed</t>
  </si>
  <si>
    <t>Thu</t>
  </si>
  <si>
    <t>Fri</t>
  </si>
  <si>
    <t>Sat</t>
  </si>
  <si>
    <t>Sun</t>
  </si>
  <si>
    <t>Name</t>
  </si>
  <si>
    <t>Vraj Patel</t>
  </si>
  <si>
    <t>Batch</t>
  </si>
  <si>
    <t>Club Batch</t>
  </si>
  <si>
    <t>Data Analysis</t>
  </si>
  <si>
    <t>Course</t>
  </si>
  <si>
    <t>Sr.No.</t>
  </si>
  <si>
    <t>Subject</t>
  </si>
  <si>
    <t>Test -1 Marks</t>
  </si>
  <si>
    <t>Test - 2 Marks</t>
  </si>
  <si>
    <t>Total Marks</t>
  </si>
  <si>
    <t>Tableau</t>
  </si>
  <si>
    <t>Excel</t>
  </si>
  <si>
    <t>Advanced SQL</t>
  </si>
  <si>
    <t>Core Python</t>
  </si>
  <si>
    <t>Python Libraries</t>
  </si>
  <si>
    <t>Part-2</t>
  </si>
  <si>
    <t>Probability &amp; Statistics</t>
  </si>
  <si>
    <t>Hypothesis Testing</t>
  </si>
  <si>
    <t>Rounded Off Avg</t>
  </si>
  <si>
    <t>Truncated Avg</t>
  </si>
  <si>
    <t>Rounded Down Avg</t>
  </si>
  <si>
    <t>Rounded Up Avg</t>
  </si>
  <si>
    <t>Rounded to nearest integer</t>
  </si>
  <si>
    <t>Rounded to nearest ten</t>
  </si>
  <si>
    <t>Rounded to nearest hundred</t>
  </si>
  <si>
    <t>Avg Marks per subject by average</t>
  </si>
  <si>
    <t>Avg Marks Per Subject by division</t>
  </si>
  <si>
    <t>Pushparaj Chavda</t>
  </si>
  <si>
    <t>Krushnam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</si>
</sst>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vertical="center"/>
    </xf>
    <xf numFmtId="15" fontId="0" fillId="0" borderId="2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textRotation="45"/>
    </xf>
    <xf numFmtId="0" fontId="1" fillId="2" borderId="2" xfId="0" applyFont="1" applyFill="1" applyBorder="1" applyAlignment="1">
      <alignment horizontal="center" vertical="center" textRotation="45"/>
    </xf>
    <xf numFmtId="0" fontId="1" fillId="2" borderId="5" xfId="0" applyFont="1" applyFill="1" applyBorder="1" applyAlignment="1">
      <alignment horizontal="center" vertical="center" textRotation="21"/>
    </xf>
    <xf numFmtId="0" fontId="1" fillId="2" borderId="2" xfId="0" applyFont="1" applyFill="1" applyBorder="1" applyAlignment="1">
      <alignment horizontal="center" vertical="center" textRotation="2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E717-071C-48F9-9BAA-304997FD3383}">
  <dimension ref="A1:I19"/>
  <sheetViews>
    <sheetView zoomScaleNormal="100" workbookViewId="0">
      <selection activeCell="E14" sqref="E14"/>
    </sheetView>
  </sheetViews>
  <sheetFormatPr defaultRowHeight="14.4" x14ac:dyDescent="0.3"/>
  <cols>
    <col min="1" max="1" width="8.21875" customWidth="1"/>
    <col min="2" max="2" width="14.77734375" customWidth="1"/>
    <col min="3" max="3" width="18.5546875" bestFit="1" customWidth="1"/>
    <col min="4" max="4" width="12.77734375" customWidth="1"/>
    <col min="5" max="5" width="25.77734375" customWidth="1"/>
    <col min="6" max="6" width="12.77734375" customWidth="1"/>
    <col min="7" max="7" width="10.44140625" bestFit="1" customWidth="1"/>
  </cols>
  <sheetData>
    <row r="1" spans="1:9" s="4" customFormat="1" ht="15.6" x14ac:dyDescent="0.3">
      <c r="A1" s="13" t="s">
        <v>0</v>
      </c>
      <c r="B1" s="11" t="s">
        <v>1</v>
      </c>
      <c r="C1" s="12"/>
      <c r="D1" s="11" t="s">
        <v>15</v>
      </c>
      <c r="E1" s="12"/>
      <c r="F1" s="15" t="s">
        <v>6</v>
      </c>
    </row>
    <row r="2" spans="1:9" s="5" customFormat="1" ht="32.4" customHeight="1" x14ac:dyDescent="0.3">
      <c r="A2" s="14"/>
      <c r="B2" s="6" t="s">
        <v>2</v>
      </c>
      <c r="C2" s="6" t="s">
        <v>3</v>
      </c>
      <c r="D2" s="6" t="s">
        <v>4</v>
      </c>
      <c r="E2" s="6" t="s">
        <v>5</v>
      </c>
      <c r="F2" s="16"/>
      <c r="G2" s="5" t="s">
        <v>16</v>
      </c>
    </row>
    <row r="3" spans="1:9" ht="43.2" x14ac:dyDescent="0.3">
      <c r="A3" s="7">
        <v>1</v>
      </c>
      <c r="B3" s="7" t="s">
        <v>7</v>
      </c>
      <c r="C3" s="7" t="s">
        <v>8</v>
      </c>
      <c r="D3" s="7">
        <v>9876543210</v>
      </c>
      <c r="E3" s="3" t="s">
        <v>9</v>
      </c>
      <c r="F3" s="8">
        <v>46077</v>
      </c>
      <c r="G3" s="9" t="s">
        <v>17</v>
      </c>
      <c r="H3" s="9" t="s">
        <v>24</v>
      </c>
      <c r="I3" s="9" t="s">
        <v>24</v>
      </c>
    </row>
    <row r="4" spans="1:9" ht="46.2" customHeight="1" x14ac:dyDescent="0.3">
      <c r="A4" s="1">
        <v>2</v>
      </c>
      <c r="B4" s="1" t="s">
        <v>10</v>
      </c>
      <c r="C4" s="1" t="s">
        <v>11</v>
      </c>
      <c r="D4" s="1">
        <v>8989898989</v>
      </c>
      <c r="E4" s="1" t="s">
        <v>14</v>
      </c>
      <c r="F4" s="8">
        <v>46078</v>
      </c>
      <c r="G4" s="9" t="s">
        <v>18</v>
      </c>
      <c r="H4" s="9" t="s">
        <v>25</v>
      </c>
      <c r="I4" t="s">
        <v>24</v>
      </c>
    </row>
    <row r="5" spans="1:9" ht="43.2" x14ac:dyDescent="0.3">
      <c r="A5" s="7">
        <v>3</v>
      </c>
      <c r="B5" s="1" t="s">
        <v>12</v>
      </c>
      <c r="C5" s="1" t="s">
        <v>8</v>
      </c>
      <c r="D5" s="1">
        <v>9090908787</v>
      </c>
      <c r="E5" s="2" t="s">
        <v>13</v>
      </c>
      <c r="F5" s="8">
        <v>46079</v>
      </c>
      <c r="G5" s="9" t="s">
        <v>19</v>
      </c>
      <c r="H5" s="9" t="s">
        <v>26</v>
      </c>
      <c r="I5" s="9" t="s">
        <v>24</v>
      </c>
    </row>
    <row r="6" spans="1:9" x14ac:dyDescent="0.3">
      <c r="A6" s="1">
        <v>4</v>
      </c>
      <c r="F6" s="8">
        <v>46080</v>
      </c>
      <c r="G6" s="9" t="s">
        <v>20</v>
      </c>
      <c r="H6" s="9" t="s">
        <v>27</v>
      </c>
      <c r="I6" t="s">
        <v>24</v>
      </c>
    </row>
    <row r="7" spans="1:9" x14ac:dyDescent="0.3">
      <c r="A7" s="7">
        <v>5</v>
      </c>
      <c r="F7" s="8">
        <v>46081</v>
      </c>
      <c r="G7" s="9" t="s">
        <v>21</v>
      </c>
      <c r="H7" s="9" t="s">
        <v>28</v>
      </c>
      <c r="I7" s="9" t="s">
        <v>24</v>
      </c>
    </row>
    <row r="8" spans="1:9" x14ac:dyDescent="0.3">
      <c r="A8" s="1">
        <v>6</v>
      </c>
      <c r="F8" s="8">
        <v>46082</v>
      </c>
      <c r="G8" s="9" t="s">
        <v>22</v>
      </c>
      <c r="H8" s="9" t="s">
        <v>29</v>
      </c>
      <c r="I8" t="s">
        <v>24</v>
      </c>
    </row>
    <row r="9" spans="1:9" x14ac:dyDescent="0.3">
      <c r="A9" s="7">
        <v>7</v>
      </c>
      <c r="F9" s="8">
        <v>46083</v>
      </c>
      <c r="G9" s="9" t="s">
        <v>23</v>
      </c>
      <c r="H9" s="9" t="s">
        <v>30</v>
      </c>
      <c r="I9" s="9" t="s">
        <v>24</v>
      </c>
    </row>
    <row r="10" spans="1:9" x14ac:dyDescent="0.3">
      <c r="A10" s="1">
        <v>8</v>
      </c>
      <c r="F10" s="8">
        <v>46084</v>
      </c>
      <c r="G10" s="9" t="s">
        <v>17</v>
      </c>
      <c r="H10" s="9" t="s">
        <v>24</v>
      </c>
      <c r="I10" t="s">
        <v>24</v>
      </c>
    </row>
    <row r="11" spans="1:9" x14ac:dyDescent="0.3">
      <c r="A11" s="7">
        <v>9</v>
      </c>
      <c r="F11" s="8">
        <v>46085</v>
      </c>
      <c r="G11" s="9" t="s">
        <v>18</v>
      </c>
      <c r="H11" s="9" t="s">
        <v>25</v>
      </c>
      <c r="I11" s="9" t="s">
        <v>24</v>
      </c>
    </row>
    <row r="12" spans="1:9" x14ac:dyDescent="0.3">
      <c r="A12" s="1">
        <v>10</v>
      </c>
      <c r="E12" s="10"/>
      <c r="F12" s="8">
        <v>46086</v>
      </c>
      <c r="G12" s="9" t="s">
        <v>19</v>
      </c>
      <c r="H12" s="9" t="s">
        <v>26</v>
      </c>
      <c r="I12" t="s">
        <v>24</v>
      </c>
    </row>
    <row r="13" spans="1:9" x14ac:dyDescent="0.3">
      <c r="F13" s="8">
        <v>46087</v>
      </c>
      <c r="I13" s="9" t="s">
        <v>24</v>
      </c>
    </row>
    <row r="14" spans="1:9" x14ac:dyDescent="0.3">
      <c r="F14" s="8">
        <v>46088</v>
      </c>
      <c r="I14" t="s">
        <v>24</v>
      </c>
    </row>
    <row r="15" spans="1:9" x14ac:dyDescent="0.3">
      <c r="F15" s="8">
        <v>46089</v>
      </c>
      <c r="I15" s="9" t="s">
        <v>24</v>
      </c>
    </row>
    <row r="16" spans="1:9" x14ac:dyDescent="0.3">
      <c r="F16" s="8">
        <v>46090</v>
      </c>
      <c r="I16" t="s">
        <v>24</v>
      </c>
    </row>
    <row r="17" spans="6:9" x14ac:dyDescent="0.3">
      <c r="F17" s="8">
        <v>46091</v>
      </c>
      <c r="I17" s="9" t="s">
        <v>24</v>
      </c>
    </row>
    <row r="18" spans="6:9" x14ac:dyDescent="0.3">
      <c r="F18" s="8">
        <v>46092</v>
      </c>
      <c r="I18" t="s">
        <v>24</v>
      </c>
    </row>
    <row r="19" spans="6:9" x14ac:dyDescent="0.3">
      <c r="F19" s="8">
        <v>46093</v>
      </c>
      <c r="I19" s="9" t="s">
        <v>24</v>
      </c>
    </row>
  </sheetData>
  <mergeCells count="4">
    <mergeCell ref="B1:C1"/>
    <mergeCell ref="D1:E1"/>
    <mergeCell ref="A1:A2"/>
    <mergeCell ref="F1:F2"/>
  </mergeCells>
  <phoneticPr fontId="2" type="noConversion"/>
  <pageMargins left="0.25" right="0.25" top="0.75" bottom="0.75" header="0.3" footer="0.3"/>
  <pageSetup paperSize="9" orientation="portrait" r:id="rId1"/>
  <headerFooter>
    <oddHeader>&amp;L01 Advanced Excel&amp;CRoyal Technosoft&amp;RAlakh Pandya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A50B-2A11-4DE3-94D9-3F5D74137F14}">
  <dimension ref="A1:C4"/>
  <sheetViews>
    <sheetView workbookViewId="0">
      <selection activeCell="B2" sqref="B2"/>
    </sheetView>
  </sheetViews>
  <sheetFormatPr defaultRowHeight="14.4" x14ac:dyDescent="0.3"/>
  <cols>
    <col min="2" max="2" width="15.44140625" bestFit="1" customWidth="1"/>
    <col min="3" max="3" width="10.6640625" bestFit="1" customWidth="1"/>
  </cols>
  <sheetData>
    <row r="1" spans="1:3" x14ac:dyDescent="0.3">
      <c r="A1" t="s">
        <v>0</v>
      </c>
      <c r="B1" t="s">
        <v>31</v>
      </c>
      <c r="C1" t="s">
        <v>41</v>
      </c>
    </row>
    <row r="2" spans="1:3" x14ac:dyDescent="0.3">
      <c r="A2">
        <v>1</v>
      </c>
      <c r="B2" t="str">
        <f>'Vraj Patel'!B1</f>
        <v>Vraj Patel</v>
      </c>
      <c r="C2">
        <f>'Vraj Patel'!E15</f>
        <v>1141</v>
      </c>
    </row>
    <row r="3" spans="1:3" x14ac:dyDescent="0.3">
      <c r="A3">
        <v>2</v>
      </c>
      <c r="B3" t="str">
        <f>'Pushparaj Chavda'!B1</f>
        <v>Pushparaj Chavda</v>
      </c>
      <c r="C3">
        <f>'Pushparaj Chavda'!E15</f>
        <v>1223</v>
      </c>
    </row>
    <row r="4" spans="1:3" x14ac:dyDescent="0.3">
      <c r="A4">
        <v>3</v>
      </c>
      <c r="B4" t="str">
        <f>'Krushnam Patel'!B1</f>
        <v>Krushnam Patel</v>
      </c>
      <c r="C4">
        <f>'Krushnam Patel'!E15</f>
        <v>1229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B1B6-A6A7-4E1E-A982-2FD2B3218C96}">
  <dimension ref="A1:E24"/>
  <sheetViews>
    <sheetView workbookViewId="0">
      <selection activeCell="B1" sqref="B1"/>
    </sheetView>
  </sheetViews>
  <sheetFormatPr defaultRowHeight="14.4" x14ac:dyDescent="0.3"/>
  <cols>
    <col min="1" max="1" width="6.6640625" bestFit="1" customWidth="1"/>
    <col min="2" max="2" width="29" bestFit="1" customWidth="1"/>
    <col min="3" max="3" width="12" bestFit="1" customWidth="1"/>
    <col min="4" max="4" width="12.44140625" bestFit="1" customWidth="1"/>
    <col min="5" max="5" width="10.6640625" bestFit="1" customWidth="1"/>
  </cols>
  <sheetData>
    <row r="1" spans="1:5" x14ac:dyDescent="0.3">
      <c r="A1" t="s">
        <v>31</v>
      </c>
      <c r="B1" t="s">
        <v>32</v>
      </c>
    </row>
    <row r="2" spans="1:5" x14ac:dyDescent="0.3">
      <c r="A2" t="s">
        <v>33</v>
      </c>
      <c r="B2" t="s">
        <v>34</v>
      </c>
    </row>
    <row r="3" spans="1:5" x14ac:dyDescent="0.3">
      <c r="A3" t="s">
        <v>36</v>
      </c>
      <c r="B3" t="s">
        <v>35</v>
      </c>
    </row>
    <row r="5" spans="1:5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</row>
    <row r="6" spans="1:5" x14ac:dyDescent="0.3">
      <c r="A6">
        <v>1</v>
      </c>
      <c r="B6" t="s">
        <v>42</v>
      </c>
      <c r="C6">
        <v>80</v>
      </c>
      <c r="D6">
        <v>95</v>
      </c>
      <c r="E6">
        <f>D6+C6</f>
        <v>175</v>
      </c>
    </row>
    <row r="7" spans="1:5" x14ac:dyDescent="0.3">
      <c r="A7">
        <v>2</v>
      </c>
      <c r="B7" t="s">
        <v>43</v>
      </c>
      <c r="C7">
        <v>100</v>
      </c>
      <c r="D7">
        <v>97</v>
      </c>
      <c r="E7">
        <f t="shared" ref="E7:E8" si="0">D7+C7</f>
        <v>197</v>
      </c>
    </row>
    <row r="8" spans="1:5" x14ac:dyDescent="0.3">
      <c r="A8">
        <v>3</v>
      </c>
      <c r="B8" t="s">
        <v>44</v>
      </c>
      <c r="C8">
        <v>80</v>
      </c>
      <c r="D8">
        <v>90</v>
      </c>
      <c r="E8">
        <f t="shared" si="0"/>
        <v>170</v>
      </c>
    </row>
    <row r="9" spans="1:5" x14ac:dyDescent="0.3">
      <c r="A9">
        <v>4</v>
      </c>
      <c r="B9" t="s">
        <v>45</v>
      </c>
      <c r="C9">
        <v>78</v>
      </c>
      <c r="D9">
        <v>88</v>
      </c>
      <c r="E9">
        <f>D9+C9</f>
        <v>166</v>
      </c>
    </row>
    <row r="10" spans="1:5" x14ac:dyDescent="0.3">
      <c r="A10">
        <v>5</v>
      </c>
      <c r="B10" t="s">
        <v>46</v>
      </c>
      <c r="C10">
        <v>90</v>
      </c>
      <c r="D10">
        <v>85</v>
      </c>
      <c r="E10">
        <f>D10+C10</f>
        <v>175</v>
      </c>
    </row>
    <row r="11" spans="1:5" x14ac:dyDescent="0.3">
      <c r="A11">
        <v>6</v>
      </c>
      <c r="B11" t="s">
        <v>47</v>
      </c>
    </row>
    <row r="12" spans="1:5" x14ac:dyDescent="0.3">
      <c r="A12">
        <v>7</v>
      </c>
      <c r="B12" t="s">
        <v>48</v>
      </c>
      <c r="C12">
        <v>84</v>
      </c>
      <c r="E12">
        <f t="shared" ref="E12:E13" si="1">D12+C12</f>
        <v>84</v>
      </c>
    </row>
    <row r="13" spans="1:5" x14ac:dyDescent="0.3">
      <c r="A13">
        <v>8</v>
      </c>
      <c r="B13" t="s">
        <v>49</v>
      </c>
      <c r="C13">
        <v>88</v>
      </c>
      <c r="D13">
        <v>86</v>
      </c>
      <c r="E13">
        <f t="shared" si="1"/>
        <v>174</v>
      </c>
    </row>
    <row r="15" spans="1:5" x14ac:dyDescent="0.3">
      <c r="B15" t="s">
        <v>41</v>
      </c>
      <c r="C15">
        <f>SUM(C6:C13)</f>
        <v>600</v>
      </c>
      <c r="D15">
        <f>SUM(D6:D13)</f>
        <v>541</v>
      </c>
      <c r="E15">
        <f>SUM(E6:E13)</f>
        <v>1141</v>
      </c>
    </row>
    <row r="16" spans="1:5" x14ac:dyDescent="0.3">
      <c r="B16" t="s">
        <v>58</v>
      </c>
      <c r="C16">
        <f>C15/7</f>
        <v>85.714285714285708</v>
      </c>
      <c r="D16">
        <f>D15/7</f>
        <v>77.285714285714292</v>
      </c>
      <c r="E16">
        <f>E15/7</f>
        <v>163</v>
      </c>
    </row>
    <row r="17" spans="2:5" x14ac:dyDescent="0.3">
      <c r="B17" t="s">
        <v>57</v>
      </c>
      <c r="C17">
        <f>AVERAGE(C6:C13)</f>
        <v>85.714285714285708</v>
      </c>
      <c r="D17">
        <f>AVERAGE(D6:D13)</f>
        <v>90.166666666666671</v>
      </c>
      <c r="E17">
        <f>AVERAGE(E6:E13)</f>
        <v>163</v>
      </c>
    </row>
    <row r="18" spans="2:5" x14ac:dyDescent="0.3">
      <c r="B18" t="s">
        <v>50</v>
      </c>
      <c r="C18">
        <f>ROUND(C17, 4)</f>
        <v>85.714299999999994</v>
      </c>
      <c r="D18">
        <f t="shared" ref="D18:E18" si="2">ROUND(D17, 4)</f>
        <v>90.166700000000006</v>
      </c>
      <c r="E18">
        <f t="shared" si="2"/>
        <v>163</v>
      </c>
    </row>
    <row r="19" spans="2:5" x14ac:dyDescent="0.3">
      <c r="B19" t="s">
        <v>51</v>
      </c>
      <c r="C19">
        <f>TRUNC(C17, 4)</f>
        <v>85.714200000000005</v>
      </c>
      <c r="D19">
        <f t="shared" ref="D19:E19" si="3">TRUNC(D17, 4)</f>
        <v>90.166600000000003</v>
      </c>
      <c r="E19">
        <f t="shared" si="3"/>
        <v>163</v>
      </c>
    </row>
    <row r="20" spans="2:5" x14ac:dyDescent="0.3">
      <c r="B20" t="s">
        <v>52</v>
      </c>
      <c r="C20">
        <f>ROUNDDOWN(C19, 2)</f>
        <v>85.71</v>
      </c>
      <c r="D20">
        <f t="shared" ref="D20:E20" si="4">ROUNDDOWN(D19, 2)</f>
        <v>90.16</v>
      </c>
      <c r="E20">
        <f t="shared" si="4"/>
        <v>163</v>
      </c>
    </row>
    <row r="21" spans="2:5" x14ac:dyDescent="0.3">
      <c r="B21" t="s">
        <v>53</v>
      </c>
      <c r="C21">
        <f>ROUNDUP(C17, 2)</f>
        <v>85.72</v>
      </c>
      <c r="D21">
        <f>ROUNDUP(D17, 2)</f>
        <v>90.17</v>
      </c>
      <c r="E21">
        <f>ROUNDUP(E16, 2)</f>
        <v>163</v>
      </c>
    </row>
    <row r="22" spans="2:5" x14ac:dyDescent="0.3">
      <c r="B22" t="s">
        <v>54</v>
      </c>
      <c r="C22">
        <f>ROUND(C17, 0)</f>
        <v>86</v>
      </c>
      <c r="D22">
        <f t="shared" ref="D22:E22" si="5">ROUND(D17, 0)</f>
        <v>90</v>
      </c>
      <c r="E22">
        <f t="shared" si="5"/>
        <v>163</v>
      </c>
    </row>
    <row r="23" spans="2:5" x14ac:dyDescent="0.3">
      <c r="B23" t="s">
        <v>55</v>
      </c>
      <c r="C23">
        <f>ROUND(C17, -1)</f>
        <v>90</v>
      </c>
      <c r="D23">
        <f t="shared" ref="D23:E23" si="6">ROUND(D17, -1)</f>
        <v>90</v>
      </c>
      <c r="E23">
        <f t="shared" si="6"/>
        <v>160</v>
      </c>
    </row>
    <row r="24" spans="2:5" x14ac:dyDescent="0.3">
      <c r="B24" t="s">
        <v>56</v>
      </c>
      <c r="C24">
        <f>ROUND(C17, -2)</f>
        <v>100</v>
      </c>
      <c r="D24">
        <f t="shared" ref="D24:E24" si="7">ROUND(D17, -2)</f>
        <v>100</v>
      </c>
      <c r="E24">
        <f t="shared" si="7"/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9D08-D461-4DF7-AF87-AD1E59BD1471}">
  <dimension ref="A1:E24"/>
  <sheetViews>
    <sheetView tabSelected="1" workbookViewId="0">
      <selection activeCell="L14" sqref="L14"/>
    </sheetView>
  </sheetViews>
  <sheetFormatPr defaultRowHeight="14.4" x14ac:dyDescent="0.3"/>
  <cols>
    <col min="1" max="1" width="6.6640625" bestFit="1" customWidth="1"/>
    <col min="2" max="2" width="29" bestFit="1" customWidth="1"/>
    <col min="3" max="3" width="12" bestFit="1" customWidth="1"/>
    <col min="4" max="4" width="12.44140625" bestFit="1" customWidth="1"/>
    <col min="5" max="5" width="10.6640625" bestFit="1" customWidth="1"/>
  </cols>
  <sheetData>
    <row r="1" spans="1:5" x14ac:dyDescent="0.3">
      <c r="A1" t="s">
        <v>31</v>
      </c>
      <c r="B1" t="s">
        <v>59</v>
      </c>
    </row>
    <row r="2" spans="1:5" x14ac:dyDescent="0.3">
      <c r="A2" t="s">
        <v>33</v>
      </c>
      <c r="B2" t="s">
        <v>34</v>
      </c>
    </row>
    <row r="3" spans="1:5" x14ac:dyDescent="0.3">
      <c r="A3" t="s">
        <v>36</v>
      </c>
      <c r="B3" t="s">
        <v>35</v>
      </c>
    </row>
    <row r="5" spans="1:5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</row>
    <row r="6" spans="1:5" x14ac:dyDescent="0.3">
      <c r="A6">
        <v>1</v>
      </c>
      <c r="B6" t="s">
        <v>42</v>
      </c>
      <c r="C6">
        <v>82</v>
      </c>
      <c r="D6">
        <v>95</v>
      </c>
      <c r="E6">
        <f>D6+C6</f>
        <v>177</v>
      </c>
    </row>
    <row r="7" spans="1:5" x14ac:dyDescent="0.3">
      <c r="A7">
        <v>2</v>
      </c>
      <c r="B7" t="s">
        <v>43</v>
      </c>
      <c r="C7">
        <v>94</v>
      </c>
      <c r="D7">
        <v>97</v>
      </c>
      <c r="E7">
        <f t="shared" ref="E7:E8" si="0">D7+C7</f>
        <v>191</v>
      </c>
    </row>
    <row r="8" spans="1:5" x14ac:dyDescent="0.3">
      <c r="A8">
        <v>3</v>
      </c>
      <c r="B8" t="s">
        <v>44</v>
      </c>
      <c r="C8">
        <v>86</v>
      </c>
      <c r="D8">
        <v>90</v>
      </c>
      <c r="E8">
        <f t="shared" si="0"/>
        <v>176</v>
      </c>
    </row>
    <row r="9" spans="1:5" x14ac:dyDescent="0.3">
      <c r="A9">
        <v>4</v>
      </c>
      <c r="B9" t="s">
        <v>45</v>
      </c>
      <c r="C9">
        <v>82</v>
      </c>
      <c r="D9">
        <v>88</v>
      </c>
      <c r="E9">
        <f>D9+C9</f>
        <v>170</v>
      </c>
    </row>
    <row r="10" spans="1:5" x14ac:dyDescent="0.3">
      <c r="A10">
        <v>5</v>
      </c>
      <c r="B10" t="s">
        <v>46</v>
      </c>
      <c r="C10">
        <v>88</v>
      </c>
      <c r="D10">
        <v>85</v>
      </c>
      <c r="E10">
        <f>D10+C10</f>
        <v>173</v>
      </c>
    </row>
    <row r="11" spans="1:5" x14ac:dyDescent="0.3">
      <c r="A11">
        <v>6</v>
      </c>
      <c r="B11" t="s">
        <v>47</v>
      </c>
    </row>
    <row r="12" spans="1:5" x14ac:dyDescent="0.3">
      <c r="A12">
        <v>7</v>
      </c>
      <c r="B12" t="s">
        <v>48</v>
      </c>
      <c r="C12">
        <v>84</v>
      </c>
      <c r="D12">
        <v>78</v>
      </c>
      <c r="E12">
        <f t="shared" ref="E12:E13" si="1">D12+C12</f>
        <v>162</v>
      </c>
    </row>
    <row r="13" spans="1:5" x14ac:dyDescent="0.3">
      <c r="A13">
        <v>8</v>
      </c>
      <c r="B13" t="s">
        <v>49</v>
      </c>
      <c r="C13">
        <v>88</v>
      </c>
      <c r="D13">
        <v>86</v>
      </c>
      <c r="E13">
        <f t="shared" si="1"/>
        <v>174</v>
      </c>
    </row>
    <row r="15" spans="1:5" x14ac:dyDescent="0.3">
      <c r="B15" t="s">
        <v>41</v>
      </c>
      <c r="C15">
        <f>SUM(C6:C13)</f>
        <v>604</v>
      </c>
      <c r="D15">
        <f>SUM(D6:D13)</f>
        <v>619</v>
      </c>
      <c r="E15">
        <f>SUM(E6:E13)</f>
        <v>1223</v>
      </c>
    </row>
    <row r="16" spans="1:5" x14ac:dyDescent="0.3">
      <c r="B16" t="s">
        <v>58</v>
      </c>
      <c r="C16">
        <f>C15/7</f>
        <v>86.285714285714292</v>
      </c>
      <c r="D16">
        <f>D15/7</f>
        <v>88.428571428571431</v>
      </c>
      <c r="E16">
        <f>E15/7</f>
        <v>174.71428571428572</v>
      </c>
    </row>
    <row r="17" spans="2:5" x14ac:dyDescent="0.3">
      <c r="B17" t="s">
        <v>57</v>
      </c>
      <c r="C17">
        <f>AVERAGE(C6:C13)</f>
        <v>86.285714285714292</v>
      </c>
      <c r="D17">
        <f>AVERAGE(D6:D13)</f>
        <v>88.428571428571431</v>
      </c>
      <c r="E17">
        <f>AVERAGE(E6:E13)</f>
        <v>174.71428571428572</v>
      </c>
    </row>
    <row r="18" spans="2:5" x14ac:dyDescent="0.3">
      <c r="B18" t="s">
        <v>50</v>
      </c>
      <c r="C18">
        <f>ROUND(C17, 4)</f>
        <v>86.285700000000006</v>
      </c>
      <c r="D18">
        <f t="shared" ref="D18:E18" si="2">ROUND(D17, 4)</f>
        <v>88.428600000000003</v>
      </c>
      <c r="E18">
        <f t="shared" si="2"/>
        <v>174.71430000000001</v>
      </c>
    </row>
    <row r="19" spans="2:5" x14ac:dyDescent="0.3">
      <c r="B19" t="s">
        <v>51</v>
      </c>
      <c r="C19">
        <f>TRUNC(C17, 4)</f>
        <v>86.285700000000006</v>
      </c>
      <c r="D19">
        <f t="shared" ref="D19:E19" si="3">TRUNC(D17, 4)</f>
        <v>88.4285</v>
      </c>
      <c r="E19">
        <f t="shared" si="3"/>
        <v>174.71420000000001</v>
      </c>
    </row>
    <row r="20" spans="2:5" x14ac:dyDescent="0.3">
      <c r="B20" t="s">
        <v>52</v>
      </c>
      <c r="C20">
        <f>ROUNDDOWN(C19, 2)</f>
        <v>86.28</v>
      </c>
      <c r="D20">
        <f t="shared" ref="D20:E20" si="4">ROUNDDOWN(D19, 2)</f>
        <v>88.42</v>
      </c>
      <c r="E20">
        <f t="shared" si="4"/>
        <v>174.71</v>
      </c>
    </row>
    <row r="21" spans="2:5" x14ac:dyDescent="0.3">
      <c r="B21" t="s">
        <v>53</v>
      </c>
      <c r="C21">
        <f>ROUNDUP(C17, 2)</f>
        <v>86.29</v>
      </c>
      <c r="D21">
        <f>ROUNDUP(D17, 2)</f>
        <v>88.43</v>
      </c>
      <c r="E21">
        <f>ROUNDUP(E16, 2)</f>
        <v>174.72</v>
      </c>
    </row>
    <row r="22" spans="2:5" x14ac:dyDescent="0.3">
      <c r="B22" t="s">
        <v>54</v>
      </c>
      <c r="C22">
        <f>ROUND(C17, 0)</f>
        <v>86</v>
      </c>
      <c r="D22">
        <f t="shared" ref="D22:E22" si="5">ROUND(D17, 0)</f>
        <v>88</v>
      </c>
      <c r="E22">
        <f t="shared" si="5"/>
        <v>175</v>
      </c>
    </row>
    <row r="23" spans="2:5" x14ac:dyDescent="0.3">
      <c r="B23" t="s">
        <v>55</v>
      </c>
      <c r="C23">
        <f>ROUND(C17, -1)</f>
        <v>90</v>
      </c>
      <c r="D23">
        <f t="shared" ref="D23:E23" si="6">ROUND(D17, -1)</f>
        <v>90</v>
      </c>
      <c r="E23">
        <f t="shared" si="6"/>
        <v>170</v>
      </c>
    </row>
    <row r="24" spans="2:5" x14ac:dyDescent="0.3">
      <c r="B24" t="s">
        <v>56</v>
      </c>
      <c r="C24">
        <f>ROUND(C17, -2)</f>
        <v>100</v>
      </c>
      <c r="D24">
        <f t="shared" ref="D24:E24" si="7">ROUND(D17, -2)</f>
        <v>100</v>
      </c>
      <c r="E24">
        <f t="shared" si="7"/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197B-B1B8-457F-A0B0-B81524667267}">
  <dimension ref="A1:E24"/>
  <sheetViews>
    <sheetView workbookViewId="0">
      <selection activeCell="D10" sqref="D10"/>
    </sheetView>
  </sheetViews>
  <sheetFormatPr defaultRowHeight="14.4" x14ac:dyDescent="0.3"/>
  <cols>
    <col min="1" max="1" width="6.6640625" bestFit="1" customWidth="1"/>
    <col min="2" max="2" width="29" bestFit="1" customWidth="1"/>
    <col min="3" max="3" width="12" bestFit="1" customWidth="1"/>
    <col min="4" max="4" width="12.44140625" bestFit="1" customWidth="1"/>
    <col min="5" max="5" width="10.6640625" bestFit="1" customWidth="1"/>
  </cols>
  <sheetData>
    <row r="1" spans="1:5" x14ac:dyDescent="0.3">
      <c r="A1" t="s">
        <v>31</v>
      </c>
      <c r="B1" t="s">
        <v>60</v>
      </c>
    </row>
    <row r="2" spans="1:5" x14ac:dyDescent="0.3">
      <c r="A2" t="s">
        <v>33</v>
      </c>
      <c r="B2" t="s">
        <v>34</v>
      </c>
    </row>
    <row r="3" spans="1:5" x14ac:dyDescent="0.3">
      <c r="A3" t="s">
        <v>36</v>
      </c>
      <c r="B3" t="s">
        <v>35</v>
      </c>
    </row>
    <row r="5" spans="1:5" x14ac:dyDescent="0.3">
      <c r="A5" t="s">
        <v>37</v>
      </c>
      <c r="B5" t="s">
        <v>38</v>
      </c>
      <c r="C5" t="s">
        <v>39</v>
      </c>
      <c r="D5" t="s">
        <v>40</v>
      </c>
      <c r="E5" t="s">
        <v>41</v>
      </c>
    </row>
    <row r="6" spans="1:5" x14ac:dyDescent="0.3">
      <c r="A6">
        <v>1</v>
      </c>
      <c r="B6" t="s">
        <v>42</v>
      </c>
      <c r="C6">
        <v>82</v>
      </c>
      <c r="D6">
        <v>95</v>
      </c>
      <c r="E6">
        <f>D6+C6</f>
        <v>177</v>
      </c>
    </row>
    <row r="7" spans="1:5" x14ac:dyDescent="0.3">
      <c r="A7">
        <v>2</v>
      </c>
      <c r="B7" t="s">
        <v>43</v>
      </c>
      <c r="C7">
        <v>94</v>
      </c>
      <c r="D7">
        <v>97</v>
      </c>
      <c r="E7">
        <f t="shared" ref="E7:E8" si="0">D7+C7</f>
        <v>191</v>
      </c>
    </row>
    <row r="8" spans="1:5" x14ac:dyDescent="0.3">
      <c r="A8">
        <v>3</v>
      </c>
      <c r="B8" t="s">
        <v>44</v>
      </c>
      <c r="C8">
        <v>86</v>
      </c>
      <c r="D8">
        <v>90</v>
      </c>
      <c r="E8">
        <f t="shared" si="0"/>
        <v>176</v>
      </c>
    </row>
    <row r="9" spans="1:5" x14ac:dyDescent="0.3">
      <c r="A9">
        <v>4</v>
      </c>
      <c r="B9" t="s">
        <v>45</v>
      </c>
      <c r="C9">
        <v>82</v>
      </c>
      <c r="D9">
        <v>90</v>
      </c>
      <c r="E9">
        <f>D9+C9</f>
        <v>172</v>
      </c>
    </row>
    <row r="10" spans="1:5" x14ac:dyDescent="0.3">
      <c r="A10">
        <v>5</v>
      </c>
      <c r="B10" t="s">
        <v>46</v>
      </c>
      <c r="C10">
        <v>88</v>
      </c>
      <c r="D10">
        <v>85</v>
      </c>
      <c r="E10">
        <f>D10+C10</f>
        <v>173</v>
      </c>
    </row>
    <row r="11" spans="1:5" x14ac:dyDescent="0.3">
      <c r="A11">
        <v>6</v>
      </c>
      <c r="B11" t="s">
        <v>47</v>
      </c>
    </row>
    <row r="12" spans="1:5" x14ac:dyDescent="0.3">
      <c r="A12">
        <v>7</v>
      </c>
      <c r="B12" t="s">
        <v>48</v>
      </c>
      <c r="C12">
        <v>84</v>
      </c>
      <c r="D12">
        <v>78</v>
      </c>
      <c r="E12">
        <f t="shared" ref="E12:E13" si="1">D12+C12</f>
        <v>162</v>
      </c>
    </row>
    <row r="13" spans="1:5" x14ac:dyDescent="0.3">
      <c r="A13">
        <v>8</v>
      </c>
      <c r="B13" t="s">
        <v>49</v>
      </c>
      <c r="C13">
        <v>88</v>
      </c>
      <c r="D13">
        <v>90</v>
      </c>
      <c r="E13">
        <f t="shared" si="1"/>
        <v>178</v>
      </c>
    </row>
    <row r="15" spans="1:5" x14ac:dyDescent="0.3">
      <c r="B15" t="s">
        <v>41</v>
      </c>
      <c r="C15">
        <f>SUM(C6:C13)</f>
        <v>604</v>
      </c>
      <c r="D15">
        <f>SUM(D6:D13)</f>
        <v>625</v>
      </c>
      <c r="E15">
        <f>SUM(E6:E13)</f>
        <v>1229</v>
      </c>
    </row>
    <row r="16" spans="1:5" x14ac:dyDescent="0.3">
      <c r="B16" t="s">
        <v>58</v>
      </c>
      <c r="C16">
        <f>C15/7</f>
        <v>86.285714285714292</v>
      </c>
      <c r="D16">
        <f>D15/7</f>
        <v>89.285714285714292</v>
      </c>
      <c r="E16">
        <f>E15/7</f>
        <v>175.57142857142858</v>
      </c>
    </row>
    <row r="17" spans="2:5" x14ac:dyDescent="0.3">
      <c r="B17" t="s">
        <v>57</v>
      </c>
      <c r="C17">
        <f>AVERAGE(C6:C13)</f>
        <v>86.285714285714292</v>
      </c>
      <c r="D17">
        <f>AVERAGE(D6:D13)</f>
        <v>89.285714285714292</v>
      </c>
      <c r="E17">
        <f>AVERAGE(E6:E13)</f>
        <v>175.57142857142858</v>
      </c>
    </row>
    <row r="18" spans="2:5" x14ac:dyDescent="0.3">
      <c r="B18" t="s">
        <v>50</v>
      </c>
      <c r="C18">
        <f>ROUND(C17, 4)</f>
        <v>86.285700000000006</v>
      </c>
      <c r="D18">
        <f t="shared" ref="D18:E18" si="2">ROUND(D17, 4)</f>
        <v>89.285700000000006</v>
      </c>
      <c r="E18">
        <f t="shared" si="2"/>
        <v>175.57140000000001</v>
      </c>
    </row>
    <row r="19" spans="2:5" x14ac:dyDescent="0.3">
      <c r="B19" t="s">
        <v>51</v>
      </c>
      <c r="C19">
        <f>TRUNC(C17, 4)</f>
        <v>86.285700000000006</v>
      </c>
      <c r="D19">
        <f t="shared" ref="D19:E19" si="3">TRUNC(D17, 4)</f>
        <v>89.285700000000006</v>
      </c>
      <c r="E19">
        <f t="shared" si="3"/>
        <v>175.57140000000001</v>
      </c>
    </row>
    <row r="20" spans="2:5" x14ac:dyDescent="0.3">
      <c r="B20" t="s">
        <v>52</v>
      </c>
      <c r="C20">
        <f>ROUNDDOWN(C19, 2)</f>
        <v>86.28</v>
      </c>
      <c r="D20">
        <f t="shared" ref="D20:E20" si="4">ROUNDDOWN(D19, 2)</f>
        <v>89.28</v>
      </c>
      <c r="E20">
        <f t="shared" si="4"/>
        <v>175.57</v>
      </c>
    </row>
    <row r="21" spans="2:5" x14ac:dyDescent="0.3">
      <c r="B21" t="s">
        <v>53</v>
      </c>
      <c r="C21">
        <f>ROUNDUP(C17, 2)</f>
        <v>86.29</v>
      </c>
      <c r="D21">
        <f>ROUNDUP(D17, 2)</f>
        <v>89.29</v>
      </c>
      <c r="E21">
        <f>ROUNDUP(E16, 2)</f>
        <v>175.57999999999998</v>
      </c>
    </row>
    <row r="22" spans="2:5" x14ac:dyDescent="0.3">
      <c r="B22" t="s">
        <v>54</v>
      </c>
      <c r="C22">
        <f>ROUND(C17, 0)</f>
        <v>86</v>
      </c>
      <c r="D22">
        <f t="shared" ref="D22:E22" si="5">ROUND(D17, 0)</f>
        <v>89</v>
      </c>
      <c r="E22">
        <f t="shared" si="5"/>
        <v>176</v>
      </c>
    </row>
    <row r="23" spans="2:5" x14ac:dyDescent="0.3">
      <c r="B23" t="s">
        <v>55</v>
      </c>
      <c r="C23">
        <f>ROUND(C17, -1)</f>
        <v>90</v>
      </c>
      <c r="D23">
        <f t="shared" ref="D23:E23" si="6">ROUND(D17, -1)</f>
        <v>90</v>
      </c>
      <c r="E23">
        <f t="shared" si="6"/>
        <v>180</v>
      </c>
    </row>
    <row r="24" spans="2:5" x14ac:dyDescent="0.3">
      <c r="B24" t="s">
        <v>56</v>
      </c>
      <c r="C24">
        <f>ROUND(C17, -2)</f>
        <v>100</v>
      </c>
      <c r="D24">
        <f t="shared" ref="D24:E24" si="7">ROUND(D17, -2)</f>
        <v>100</v>
      </c>
      <c r="E24">
        <f t="shared" si="7"/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Consolidated Marks Sheet</vt:lpstr>
      <vt:lpstr>Vraj Patel</vt:lpstr>
      <vt:lpstr>Pushparaj Chavda</vt:lpstr>
      <vt:lpstr>Krushnam Patel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cp:lastPrinted>2026-03-05T12:23:19Z</cp:lastPrinted>
  <dcterms:created xsi:type="dcterms:W3CDTF">2026-03-05T11:56:04Z</dcterms:created>
  <dcterms:modified xsi:type="dcterms:W3CDTF">2026-03-10T11:57:13Z</dcterms:modified>
</cp:coreProperties>
</file>