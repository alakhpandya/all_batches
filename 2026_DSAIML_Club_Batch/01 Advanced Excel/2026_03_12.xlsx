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01 Advanced Excel\"/>
    </mc:Choice>
  </mc:AlternateContent>
  <xr:revisionPtr revIDLastSave="0" documentId="13_ncr:1_{CFD76483-11C9-4AA3-8E89-42CB1FE884A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lashfill and concat" sheetId="2" r:id="rId1"/>
    <sheet name="logical operators and text f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2" i="3" l="1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6" i="3"/>
  <c r="S23" i="3"/>
  <c r="S22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6" i="3"/>
  <c r="F24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6" i="3"/>
  <c r="C33" i="3"/>
  <c r="C30" i="3"/>
  <c r="C27" i="3"/>
  <c r="C24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6" i="3"/>
  <c r="E24" i="3"/>
  <c r="E27" i="3"/>
  <c r="F27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6" i="3"/>
  <c r="J4" i="2"/>
  <c r="J5" i="2"/>
  <c r="J6" i="2"/>
  <c r="J7" i="2"/>
  <c r="J8" i="2"/>
  <c r="J9" i="2"/>
  <c r="J10" i="2"/>
  <c r="J11" i="2"/>
  <c r="J3" i="2"/>
  <c r="D3" i="2"/>
  <c r="D4" i="2"/>
  <c r="D5" i="2"/>
  <c r="D6" i="2"/>
  <c r="D7" i="2"/>
  <c r="D8" i="2"/>
  <c r="D9" i="2"/>
  <c r="D10" i="2"/>
  <c r="D11" i="2"/>
  <c r="D12" i="2"/>
  <c r="D2" i="2"/>
</calcChain>
</file>

<file path=xl/sharedStrings.xml><?xml version="1.0" encoding="utf-8"?>
<sst xmlns="http://schemas.openxmlformats.org/spreadsheetml/2006/main" count="107" uniqueCount="79">
  <si>
    <t>First Name</t>
  </si>
  <si>
    <t>Last Name</t>
  </si>
  <si>
    <t>Full Name - Flashfill</t>
  </si>
  <si>
    <t>Full Name - Concat</t>
  </si>
  <si>
    <t>Initial</t>
  </si>
  <si>
    <t>Age</t>
  </si>
  <si>
    <t>Adressing</t>
  </si>
  <si>
    <t>Python</t>
  </si>
  <si>
    <t>Language</t>
  </si>
  <si>
    <t>Ayush</t>
  </si>
  <si>
    <t>Sheth</t>
  </si>
  <si>
    <t>Mr</t>
  </si>
  <si>
    <t>Alakh</t>
  </si>
  <si>
    <t>Pandya</t>
  </si>
  <si>
    <t>Madhusudan</t>
  </si>
  <si>
    <t>Soneji</t>
  </si>
  <si>
    <t>Heli</t>
  </si>
  <si>
    <t>Raval</t>
  </si>
  <si>
    <t>Ms</t>
  </si>
  <si>
    <t>Sanjay</t>
  </si>
  <si>
    <t>Shah</t>
  </si>
  <si>
    <t>Dr</t>
  </si>
  <si>
    <t>Nupur</t>
  </si>
  <si>
    <t>Patel</t>
  </si>
  <si>
    <t>Prof</t>
  </si>
  <si>
    <t>Khyati</t>
  </si>
  <si>
    <t>Jani</t>
  </si>
  <si>
    <t>Ajay</t>
  </si>
  <si>
    <t>Khanna</t>
  </si>
  <si>
    <t>Python Language</t>
  </si>
  <si>
    <t>Ayush Sheth</t>
  </si>
  <si>
    <t>Alakh Pandya</t>
  </si>
  <si>
    <t>Madhusudan Soneji</t>
  </si>
  <si>
    <t>Heli Raval</t>
  </si>
  <si>
    <t>Sanjay Shah</t>
  </si>
  <si>
    <t>Nupur Patel</t>
  </si>
  <si>
    <t>Khyati Jani</t>
  </si>
  <si>
    <t>Vyas</t>
  </si>
  <si>
    <t>Greesha</t>
  </si>
  <si>
    <t>Bodana</t>
  </si>
  <si>
    <t>Greesha Bodana</t>
  </si>
  <si>
    <t>Which rows have April as their month and 'Numbers' at least 10?</t>
  </si>
  <si>
    <t>Which rows have April as their month or 'Numbers' at least 10?</t>
  </si>
  <si>
    <t>Extracting in different ways using TEXT</t>
  </si>
  <si>
    <t>Which rows don't have April month?</t>
  </si>
  <si>
    <t>Date</t>
  </si>
  <si>
    <t>Numbers</t>
  </si>
  <si>
    <t>Year</t>
  </si>
  <si>
    <t>Month</t>
  </si>
  <si>
    <t>AND</t>
  </si>
  <si>
    <t>OR</t>
  </si>
  <si>
    <t>NOT</t>
  </si>
  <si>
    <t>Year (Full)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</si>
  <si>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</si>
  <si>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</si>
  <si>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</si>
  <si>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</si>
  <si>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</si>
  <si>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</si>
  <si>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</si>
  <si>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</si>
  <si>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</si>
  <si>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</si>
  <si>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Input</t>
  </si>
  <si>
    <t>Date Function:</t>
  </si>
  <si>
    <t>Between 30 &amp; 40</t>
  </si>
  <si>
    <t>Now Function:</t>
  </si>
  <si>
    <t>Either Dr or Prof</t>
  </si>
  <si>
    <t>Not Between 30 &amp; 40</t>
  </si>
  <si>
    <t>Birth Year</t>
  </si>
  <si>
    <t>Age different from mine?</t>
  </si>
  <si>
    <t>NumberValue</t>
  </si>
  <si>
    <t>Panth</t>
  </si>
  <si>
    <t>Sutaria</t>
  </si>
  <si>
    <t>Ajay Vyas</t>
  </si>
  <si>
    <t>Panth Sutaria</t>
  </si>
  <si>
    <t>Krushnam</t>
  </si>
  <si>
    <t>Type your Initial</t>
  </si>
  <si>
    <t>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</si>
</sst>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3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Question Hlookupworked-style" pivot="0" count="3" xr9:uid="{E96F9BBD-C3BC-4949-8FBB-8307F55AA3C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3889-81DF-41A4-B72F-02DB3B3151F4}">
  <dimension ref="A1:J12"/>
  <sheetViews>
    <sheetView zoomScale="145" zoomScaleNormal="145" workbookViewId="0">
      <selection activeCell="D17" sqref="D17"/>
    </sheetView>
  </sheetViews>
  <sheetFormatPr defaultRowHeight="14.4" x14ac:dyDescent="0.3"/>
  <cols>
    <col min="1" max="1" width="11.88671875" bestFit="1" customWidth="1"/>
    <col min="2" max="2" width="9.6640625" bestFit="1" customWidth="1"/>
    <col min="3" max="3" width="17.44140625" bestFit="1" customWidth="1"/>
    <col min="4" max="4" width="17.44140625" customWidth="1"/>
    <col min="5" max="5" width="17.88671875" customWidth="1"/>
    <col min="6" max="6" width="5.5546875" bestFit="1" customWidth="1"/>
    <col min="7" max="7" width="4.109375" bestFit="1" customWidth="1"/>
    <col min="8" max="8" width="11.88671875" bestFit="1" customWidth="1"/>
    <col min="9" max="9" width="9.6640625" bestFit="1" customWidth="1"/>
    <col min="10" max="10" width="1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0</v>
      </c>
      <c r="I1" t="s">
        <v>1</v>
      </c>
      <c r="J1" t="s">
        <v>6</v>
      </c>
    </row>
    <row r="2" spans="1:10" x14ac:dyDescent="0.3">
      <c r="A2" t="s">
        <v>7</v>
      </c>
      <c r="B2" t="s">
        <v>8</v>
      </c>
      <c r="C2" t="s">
        <v>29</v>
      </c>
      <c r="D2" t="str">
        <f>_xlfn.CONCAT(A2, " ", B2)</f>
        <v>Python Language</v>
      </c>
    </row>
    <row r="3" spans="1:10" x14ac:dyDescent="0.3">
      <c r="A3" t="s">
        <v>9</v>
      </c>
      <c r="B3" t="s">
        <v>10</v>
      </c>
      <c r="C3" t="s">
        <v>30</v>
      </c>
      <c r="D3" t="str">
        <f t="shared" ref="D3:D12" si="0">_xlfn.CONCAT(A3, " ", B3)</f>
        <v>Ayush Sheth</v>
      </c>
      <c r="F3" t="s">
        <v>11</v>
      </c>
      <c r="G3">
        <v>24</v>
      </c>
      <c r="H3" t="s">
        <v>9</v>
      </c>
      <c r="I3" t="s">
        <v>10</v>
      </c>
      <c r="J3" t="str">
        <f>IF(G3&lt;18, _xlfn.CONCAT("Hi ", H3, "!"), _xlfn.CONCAT("Hello ", F3, " ", I3, ","))</f>
        <v>Hello Mr Sheth,</v>
      </c>
    </row>
    <row r="4" spans="1:10" x14ac:dyDescent="0.3">
      <c r="A4" t="s">
        <v>76</v>
      </c>
      <c r="B4" t="s">
        <v>23</v>
      </c>
      <c r="C4" t="s">
        <v>40</v>
      </c>
      <c r="D4" t="str">
        <f t="shared" si="0"/>
        <v>Krushnam Patel</v>
      </c>
      <c r="F4" t="s">
        <v>18</v>
      </c>
      <c r="G4">
        <v>18</v>
      </c>
      <c r="H4" t="s">
        <v>38</v>
      </c>
      <c r="I4" t="s">
        <v>39</v>
      </c>
      <c r="J4" t="str">
        <f t="shared" ref="J4:J11" si="1">IF(G4&lt;18, _xlfn.CONCAT("Hi ", H4, "!"), _xlfn.CONCAT("Hello ", F4, " ", I4, ","))</f>
        <v>Hello Ms Bodana,</v>
      </c>
    </row>
    <row r="5" spans="1:10" x14ac:dyDescent="0.3">
      <c r="A5" t="s">
        <v>12</v>
      </c>
      <c r="B5" t="s">
        <v>13</v>
      </c>
      <c r="C5" t="s">
        <v>31</v>
      </c>
      <c r="D5" t="str">
        <f t="shared" si="0"/>
        <v>Alakh Pandya</v>
      </c>
      <c r="F5" t="s">
        <v>11</v>
      </c>
      <c r="G5">
        <v>43</v>
      </c>
      <c r="H5" t="s">
        <v>12</v>
      </c>
      <c r="I5" t="s">
        <v>13</v>
      </c>
      <c r="J5" t="str">
        <f t="shared" si="1"/>
        <v>Hello Mr Pandya,</v>
      </c>
    </row>
    <row r="6" spans="1:10" x14ac:dyDescent="0.3">
      <c r="A6" t="s">
        <v>14</v>
      </c>
      <c r="B6" t="s">
        <v>15</v>
      </c>
      <c r="C6" t="s">
        <v>32</v>
      </c>
      <c r="D6" t="str">
        <f t="shared" si="0"/>
        <v>Madhusudan Soneji</v>
      </c>
      <c r="F6" t="s">
        <v>11</v>
      </c>
      <c r="G6">
        <v>50</v>
      </c>
      <c r="H6" t="s">
        <v>14</v>
      </c>
      <c r="I6" t="s">
        <v>15</v>
      </c>
      <c r="J6" t="str">
        <f t="shared" si="1"/>
        <v>Hello Mr Soneji,</v>
      </c>
    </row>
    <row r="7" spans="1:10" x14ac:dyDescent="0.3">
      <c r="A7" t="s">
        <v>16</v>
      </c>
      <c r="B7" t="s">
        <v>17</v>
      </c>
      <c r="C7" t="s">
        <v>33</v>
      </c>
      <c r="D7" t="str">
        <f t="shared" si="0"/>
        <v>Heli Raval</v>
      </c>
      <c r="F7" t="s">
        <v>18</v>
      </c>
      <c r="G7">
        <v>14</v>
      </c>
      <c r="H7" t="s">
        <v>16</v>
      </c>
      <c r="I7" t="s">
        <v>17</v>
      </c>
      <c r="J7" t="str">
        <f t="shared" si="1"/>
        <v>Hi Heli!</v>
      </c>
    </row>
    <row r="8" spans="1:10" x14ac:dyDescent="0.3">
      <c r="A8" t="s">
        <v>19</v>
      </c>
      <c r="B8" t="s">
        <v>20</v>
      </c>
      <c r="C8" t="s">
        <v>34</v>
      </c>
      <c r="D8" t="str">
        <f t="shared" si="0"/>
        <v>Sanjay Shah</v>
      </c>
      <c r="F8" t="s">
        <v>21</v>
      </c>
      <c r="G8">
        <v>27</v>
      </c>
      <c r="H8" t="s">
        <v>19</v>
      </c>
      <c r="I8" t="s">
        <v>20</v>
      </c>
      <c r="J8" t="str">
        <f t="shared" si="1"/>
        <v>Hello Dr Shah,</v>
      </c>
    </row>
    <row r="9" spans="1:10" x14ac:dyDescent="0.3">
      <c r="A9" t="s">
        <v>22</v>
      </c>
      <c r="B9" t="s">
        <v>23</v>
      </c>
      <c r="C9" t="s">
        <v>35</v>
      </c>
      <c r="D9" t="str">
        <f t="shared" si="0"/>
        <v>Nupur Patel</v>
      </c>
      <c r="F9" t="s">
        <v>24</v>
      </c>
      <c r="G9">
        <v>30</v>
      </c>
      <c r="H9" t="s">
        <v>22</v>
      </c>
      <c r="I9" t="s">
        <v>23</v>
      </c>
      <c r="J9" t="str">
        <f t="shared" si="1"/>
        <v>Hello Prof Patel,</v>
      </c>
    </row>
    <row r="10" spans="1:10" x14ac:dyDescent="0.3">
      <c r="A10" t="s">
        <v>25</v>
      </c>
      <c r="B10" t="s">
        <v>26</v>
      </c>
      <c r="C10" t="s">
        <v>36</v>
      </c>
      <c r="D10" t="str">
        <f t="shared" si="0"/>
        <v>Khyati Jani</v>
      </c>
      <c r="F10" t="s">
        <v>18</v>
      </c>
      <c r="G10">
        <v>15</v>
      </c>
      <c r="H10" t="s">
        <v>25</v>
      </c>
      <c r="I10" t="s">
        <v>26</v>
      </c>
      <c r="J10" t="str">
        <f t="shared" si="1"/>
        <v>Hi Khyati!</v>
      </c>
    </row>
    <row r="11" spans="1:10" x14ac:dyDescent="0.3">
      <c r="A11" t="s">
        <v>27</v>
      </c>
      <c r="B11" t="s">
        <v>37</v>
      </c>
      <c r="C11" t="s">
        <v>74</v>
      </c>
      <c r="D11" t="str">
        <f t="shared" si="0"/>
        <v>Ajay Vyas</v>
      </c>
      <c r="F11" t="s">
        <v>11</v>
      </c>
      <c r="G11">
        <v>17</v>
      </c>
      <c r="H11" t="s">
        <v>27</v>
      </c>
      <c r="I11" t="s">
        <v>28</v>
      </c>
      <c r="J11" t="str">
        <f t="shared" si="1"/>
        <v>Hi Ajay!</v>
      </c>
    </row>
    <row r="12" spans="1:10" x14ac:dyDescent="0.3">
      <c r="A12" t="s">
        <v>72</v>
      </c>
      <c r="B12" t="s">
        <v>73</v>
      </c>
      <c r="C12" t="s">
        <v>75</v>
      </c>
      <c r="D12" t="str">
        <f t="shared" si="0"/>
        <v>Panth Sutaria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6FE8-5F03-48CA-B413-558FA0DB4599}">
  <dimension ref="A1:V33"/>
  <sheetViews>
    <sheetView tabSelected="1" topLeftCell="O3" zoomScale="150" zoomScaleNormal="150" workbookViewId="0">
      <selection activeCell="V7" sqref="V7"/>
    </sheetView>
  </sheetViews>
  <sheetFormatPr defaultRowHeight="14.4" x14ac:dyDescent="0.3"/>
  <cols>
    <col min="1" max="1" width="15.6640625" bestFit="1" customWidth="1"/>
    <col min="2" max="2" width="22.44140625" bestFit="1" customWidth="1"/>
    <col min="3" max="3" width="8.6640625" customWidth="1"/>
    <col min="4" max="4" width="6" bestFit="1" customWidth="1"/>
    <col min="5" max="5" width="16" bestFit="1" customWidth="1"/>
    <col min="6" max="8" width="8" customWidth="1"/>
    <col min="9" max="9" width="10.109375" customWidth="1"/>
    <col min="10" max="10" width="10.5546875" bestFit="1" customWidth="1"/>
    <col min="11" max="11" width="12.21875" bestFit="1" customWidth="1"/>
    <col min="12" max="12" width="17.44140625" bestFit="1" customWidth="1"/>
    <col min="13" max="13" width="17.77734375" bestFit="1" customWidth="1"/>
    <col min="14" max="14" width="16" bestFit="1" customWidth="1"/>
    <col min="15" max="15" width="4.88671875" bestFit="1" customWidth="1"/>
    <col min="16" max="16" width="15.6640625" bestFit="1" customWidth="1"/>
    <col min="17" max="17" width="10" bestFit="1" customWidth="1"/>
    <col min="18" max="18" width="10.44140625" bestFit="1" customWidth="1"/>
    <col min="19" max="20" width="17.109375" bestFit="1" customWidth="1"/>
    <col min="21" max="21" width="12.5546875" bestFit="1" customWidth="1"/>
    <col min="22" max="22" width="10.21875" customWidth="1"/>
  </cols>
  <sheetData>
    <row r="1" spans="1:22" x14ac:dyDescent="0.3">
      <c r="A1" t="s">
        <v>41</v>
      </c>
      <c r="S1">
        <v>12</v>
      </c>
    </row>
    <row r="2" spans="1:22" x14ac:dyDescent="0.3">
      <c r="A2" t="s">
        <v>42</v>
      </c>
      <c r="I2" s="9" t="s">
        <v>43</v>
      </c>
      <c r="J2" s="9"/>
      <c r="K2" s="9"/>
      <c r="L2" s="9"/>
      <c r="M2" s="9"/>
      <c r="N2" s="9"/>
      <c r="O2" s="9"/>
      <c r="P2" s="9"/>
      <c r="Q2" s="9"/>
      <c r="R2" s="9"/>
    </row>
    <row r="3" spans="1:22" x14ac:dyDescent="0.3">
      <c r="A3" t="s">
        <v>44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22" x14ac:dyDescent="0.3">
      <c r="I4" s="1"/>
      <c r="J4" s="1"/>
      <c r="K4" s="1"/>
      <c r="L4" s="1"/>
      <c r="M4" s="1"/>
      <c r="N4" s="1"/>
      <c r="O4" s="1"/>
      <c r="P4" s="1"/>
      <c r="Q4" s="1"/>
      <c r="R4" s="1"/>
    </row>
    <row r="5" spans="1:22" s="10" customFormat="1" x14ac:dyDescent="0.3">
      <c r="A5" s="11" t="s">
        <v>45</v>
      </c>
      <c r="B5" s="11" t="s">
        <v>46</v>
      </c>
      <c r="C5" s="11" t="s">
        <v>47</v>
      </c>
      <c r="D5" s="11" t="s">
        <v>45</v>
      </c>
      <c r="E5" s="11" t="s">
        <v>48</v>
      </c>
      <c r="F5" s="11" t="s">
        <v>49</v>
      </c>
      <c r="G5" s="11" t="s">
        <v>50</v>
      </c>
      <c r="H5" s="11" t="s">
        <v>51</v>
      </c>
      <c r="I5" s="11" t="s">
        <v>52</v>
      </c>
      <c r="J5" s="11" t="s">
        <v>53</v>
      </c>
      <c r="K5" s="11" t="s">
        <v>54</v>
      </c>
      <c r="L5" s="11" t="s">
        <v>55</v>
      </c>
      <c r="M5" s="11" t="s">
        <v>56</v>
      </c>
      <c r="N5" s="11" t="s">
        <v>57</v>
      </c>
      <c r="O5" s="11" t="s">
        <v>45</v>
      </c>
      <c r="P5" s="11" t="s">
        <v>58</v>
      </c>
      <c r="Q5" s="11" t="s">
        <v>59</v>
      </c>
      <c r="R5" s="11" t="s">
        <v>60</v>
      </c>
      <c r="S5" s="11" t="s">
        <v>61</v>
      </c>
      <c r="T5" s="11" t="s">
        <v>62</v>
      </c>
      <c r="U5" s="11" t="s">
        <v>71</v>
      </c>
    </row>
    <row r="6" spans="1:22" x14ac:dyDescent="0.3">
      <c r="A6" s="2">
        <v>38036</v>
      </c>
      <c r="B6">
        <v>33</v>
      </c>
      <c r="C6">
        <f>YEAR(A6)</f>
        <v>2004</v>
      </c>
      <c r="D6">
        <f>DAY(A6)</f>
        <v>19</v>
      </c>
      <c r="E6">
        <f>MONTH(A6)</f>
        <v>2</v>
      </c>
      <c r="F6" t="b">
        <f>AND(B6&gt;=10, E6=4)</f>
        <v>0</v>
      </c>
      <c r="G6" t="b">
        <f>OR(E6=4, B6&gt;=10)</f>
        <v>1</v>
      </c>
      <c r="H6" t="b">
        <f>NOT(E6=4)</f>
        <v>1</v>
      </c>
      <c r="I6" t="str">
        <f>TEXT(A6, "yyyy")</f>
        <v>2004</v>
      </c>
      <c r="J6" t="str">
        <f>TEXT(A6, "yy")</f>
        <v>04</v>
      </c>
      <c r="K6" t="str">
        <f>TEXT(A6, "m")</f>
        <v>2</v>
      </c>
      <c r="L6" t="str">
        <f>TEXT(A6, "mm")</f>
        <v>02</v>
      </c>
      <c r="M6" t="str">
        <f>TEXT(A6, "mmm")</f>
        <v>Feb</v>
      </c>
      <c r="N6" t="str">
        <f>TEXT(A6, "mmmm")</f>
        <v>February</v>
      </c>
      <c r="O6" t="str">
        <f>TEXT(A6, "d")</f>
        <v>19</v>
      </c>
      <c r="P6" t="str">
        <f>TEXT(A6, "dd")</f>
        <v>19</v>
      </c>
      <c r="Q6" t="str">
        <f>TEXT(A6, "ddd")</f>
        <v>Thu</v>
      </c>
      <c r="R6" t="str">
        <f>TEXT(A6, "dddd")</f>
        <v>Thursday</v>
      </c>
      <c r="S6" t="str">
        <f>TEXT(B6, "00")</f>
        <v>33</v>
      </c>
      <c r="T6" t="str">
        <f>TEXT(B6, "000")</f>
        <v>033</v>
      </c>
      <c r="U6">
        <f>_xlfn.NUMBERVALUE(T6)</f>
        <v>33</v>
      </c>
    </row>
    <row r="7" spans="1:22" x14ac:dyDescent="0.3">
      <c r="A7" s="2">
        <v>39091</v>
      </c>
      <c r="B7">
        <v>9</v>
      </c>
      <c r="C7">
        <f t="shared" ref="C7:C20" si="0">YEAR(A7)</f>
        <v>2007</v>
      </c>
      <c r="D7">
        <f t="shared" ref="D7:D20" si="1">DAY(A7)</f>
        <v>9</v>
      </c>
      <c r="E7">
        <f t="shared" ref="E7:E20" si="2">MONTH(A7)</f>
        <v>1</v>
      </c>
      <c r="F7" t="b">
        <f t="shared" ref="F7:F20" si="3">AND(B7&gt;=10, E7=4)</f>
        <v>0</v>
      </c>
      <c r="G7" t="b">
        <f t="shared" ref="G7:G20" si="4">OR(E7=4, B7&gt;=10)</f>
        <v>0</v>
      </c>
      <c r="H7" t="b">
        <f t="shared" ref="H7:H20" si="5">NOT(E7=4)</f>
        <v>1</v>
      </c>
      <c r="I7" t="str">
        <f t="shared" ref="I7:I20" si="6">TEXT(A7, "yyyy")</f>
        <v>2007</v>
      </c>
      <c r="J7" t="str">
        <f t="shared" ref="J7:J20" si="7">TEXT(A7, "yy")</f>
        <v>07</v>
      </c>
      <c r="K7" t="str">
        <f t="shared" ref="K7:K20" si="8">TEXT(A7, "m")</f>
        <v>1</v>
      </c>
      <c r="L7" t="str">
        <f t="shared" ref="L7:L20" si="9">TEXT(A7, "mm")</f>
        <v>01</v>
      </c>
      <c r="M7" t="str">
        <f t="shared" ref="M7:M20" si="10">TEXT(A7, "mmm")</f>
        <v>Jan</v>
      </c>
      <c r="N7" t="str">
        <f t="shared" ref="N7:N20" si="11">TEXT(A7, "mmmm")</f>
        <v>January</v>
      </c>
      <c r="O7" t="str">
        <f t="shared" ref="O7:O20" si="12">TEXT(A7, "d")</f>
        <v>9</v>
      </c>
      <c r="P7" t="str">
        <f t="shared" ref="P7:P20" si="13">TEXT(A7, "dd")</f>
        <v>09</v>
      </c>
      <c r="Q7" t="str">
        <f t="shared" ref="Q7:Q20" si="14">TEXT(A7, "ddd")</f>
        <v>Tue</v>
      </c>
      <c r="R7" t="str">
        <f t="shared" ref="R7:R20" si="15">TEXT(A7, "dddd")</f>
        <v>Tuesday</v>
      </c>
      <c r="S7" t="str">
        <f t="shared" ref="S7:S20" si="16">TEXT(B7, "00")</f>
        <v>09</v>
      </c>
      <c r="T7" t="str">
        <f t="shared" ref="T7:T20" si="17">TEXT(B7, "000")</f>
        <v>009</v>
      </c>
      <c r="U7">
        <f t="shared" ref="U7:U20" si="18">_xlfn.NUMBERVALUE(T7)</f>
        <v>9</v>
      </c>
      <c r="V7" s="12"/>
    </row>
    <row r="8" spans="1:22" x14ac:dyDescent="0.3">
      <c r="A8" s="2">
        <v>39558</v>
      </c>
      <c r="B8">
        <v>5</v>
      </c>
      <c r="C8">
        <f t="shared" si="0"/>
        <v>2008</v>
      </c>
      <c r="D8">
        <f t="shared" si="1"/>
        <v>20</v>
      </c>
      <c r="E8">
        <f t="shared" si="2"/>
        <v>4</v>
      </c>
      <c r="F8" t="b">
        <f t="shared" si="3"/>
        <v>0</v>
      </c>
      <c r="G8" t="b">
        <f t="shared" si="4"/>
        <v>1</v>
      </c>
      <c r="H8" t="b">
        <f t="shared" si="5"/>
        <v>0</v>
      </c>
      <c r="I8" t="str">
        <f t="shared" si="6"/>
        <v>2008</v>
      </c>
      <c r="J8" t="str">
        <f t="shared" si="7"/>
        <v>08</v>
      </c>
      <c r="K8" t="str">
        <f t="shared" si="8"/>
        <v>4</v>
      </c>
      <c r="L8" t="str">
        <f t="shared" si="9"/>
        <v>04</v>
      </c>
      <c r="M8" t="str">
        <f t="shared" si="10"/>
        <v>Apr</v>
      </c>
      <c r="N8" t="str">
        <f t="shared" si="11"/>
        <v>April</v>
      </c>
      <c r="O8" t="str">
        <f t="shared" si="12"/>
        <v>20</v>
      </c>
      <c r="P8" t="str">
        <f t="shared" si="13"/>
        <v>20</v>
      </c>
      <c r="Q8" t="str">
        <f t="shared" si="14"/>
        <v>Sun</v>
      </c>
      <c r="R8" t="str">
        <f t="shared" si="15"/>
        <v>Sunday</v>
      </c>
      <c r="S8" t="str">
        <f t="shared" si="16"/>
        <v>05</v>
      </c>
      <c r="T8" t="str">
        <f t="shared" si="17"/>
        <v>005</v>
      </c>
      <c r="U8">
        <f t="shared" si="18"/>
        <v>5</v>
      </c>
    </row>
    <row r="9" spans="1:22" x14ac:dyDescent="0.3">
      <c r="A9" s="2">
        <v>40288</v>
      </c>
      <c r="B9">
        <v>5</v>
      </c>
      <c r="C9">
        <f t="shared" si="0"/>
        <v>2010</v>
      </c>
      <c r="D9">
        <f t="shared" si="1"/>
        <v>20</v>
      </c>
      <c r="E9">
        <f t="shared" si="2"/>
        <v>4</v>
      </c>
      <c r="F9" t="b">
        <f t="shared" si="3"/>
        <v>0</v>
      </c>
      <c r="G9" t="b">
        <f t="shared" si="4"/>
        <v>1</v>
      </c>
      <c r="H9" t="b">
        <f t="shared" si="5"/>
        <v>0</v>
      </c>
      <c r="I9" t="str">
        <f t="shared" si="6"/>
        <v>2010</v>
      </c>
      <c r="J9" t="str">
        <f t="shared" si="7"/>
        <v>10</v>
      </c>
      <c r="K9" t="str">
        <f t="shared" si="8"/>
        <v>4</v>
      </c>
      <c r="L9" t="str">
        <f t="shared" si="9"/>
        <v>04</v>
      </c>
      <c r="M9" t="str">
        <f t="shared" si="10"/>
        <v>Apr</v>
      </c>
      <c r="N9" t="str">
        <f t="shared" si="11"/>
        <v>April</v>
      </c>
      <c r="O9" t="str">
        <f t="shared" si="12"/>
        <v>20</v>
      </c>
      <c r="P9" t="str">
        <f t="shared" si="13"/>
        <v>20</v>
      </c>
      <c r="Q9" t="str">
        <f t="shared" si="14"/>
        <v>Tue</v>
      </c>
      <c r="R9" t="str">
        <f t="shared" si="15"/>
        <v>Tuesday</v>
      </c>
      <c r="S9" t="str">
        <f t="shared" si="16"/>
        <v>05</v>
      </c>
      <c r="T9" t="str">
        <f t="shared" si="17"/>
        <v>005</v>
      </c>
      <c r="U9">
        <f t="shared" si="18"/>
        <v>5</v>
      </c>
    </row>
    <row r="10" spans="1:22" x14ac:dyDescent="0.3">
      <c r="A10" s="2">
        <v>39924</v>
      </c>
      <c r="B10">
        <v>6</v>
      </c>
      <c r="C10">
        <f t="shared" si="0"/>
        <v>2009</v>
      </c>
      <c r="D10">
        <f t="shared" si="1"/>
        <v>21</v>
      </c>
      <c r="E10">
        <f t="shared" si="2"/>
        <v>4</v>
      </c>
      <c r="F10" t="b">
        <f t="shared" si="3"/>
        <v>0</v>
      </c>
      <c r="G10" t="b">
        <f t="shared" si="4"/>
        <v>1</v>
      </c>
      <c r="H10" t="b">
        <f t="shared" si="5"/>
        <v>0</v>
      </c>
      <c r="I10" t="str">
        <f t="shared" si="6"/>
        <v>2009</v>
      </c>
      <c r="J10" t="str">
        <f t="shared" si="7"/>
        <v>09</v>
      </c>
      <c r="K10" t="str">
        <f t="shared" si="8"/>
        <v>4</v>
      </c>
      <c r="L10" t="str">
        <f t="shared" si="9"/>
        <v>04</v>
      </c>
      <c r="M10" t="str">
        <f t="shared" si="10"/>
        <v>Apr</v>
      </c>
      <c r="N10" t="str">
        <f t="shared" si="11"/>
        <v>April</v>
      </c>
      <c r="O10" t="str">
        <f t="shared" si="12"/>
        <v>21</v>
      </c>
      <c r="P10" t="str">
        <f t="shared" si="13"/>
        <v>21</v>
      </c>
      <c r="Q10" t="str">
        <f t="shared" si="14"/>
        <v>Tue</v>
      </c>
      <c r="R10" t="str">
        <f t="shared" si="15"/>
        <v>Tuesday</v>
      </c>
      <c r="S10" t="str">
        <f t="shared" si="16"/>
        <v>06</v>
      </c>
      <c r="T10" t="str">
        <f t="shared" si="17"/>
        <v>006</v>
      </c>
      <c r="U10">
        <f t="shared" si="18"/>
        <v>6</v>
      </c>
    </row>
    <row r="11" spans="1:22" x14ac:dyDescent="0.3">
      <c r="A11" s="2">
        <v>38829</v>
      </c>
      <c r="B11">
        <v>9</v>
      </c>
      <c r="C11">
        <f t="shared" si="0"/>
        <v>2006</v>
      </c>
      <c r="D11">
        <f t="shared" si="1"/>
        <v>22</v>
      </c>
      <c r="E11">
        <f t="shared" si="2"/>
        <v>4</v>
      </c>
      <c r="F11" t="b">
        <f t="shared" si="3"/>
        <v>0</v>
      </c>
      <c r="G11" t="b">
        <f t="shared" si="4"/>
        <v>1</v>
      </c>
      <c r="H11" t="b">
        <f t="shared" si="5"/>
        <v>0</v>
      </c>
      <c r="I11" t="str">
        <f t="shared" si="6"/>
        <v>2006</v>
      </c>
      <c r="J11" t="str">
        <f t="shared" si="7"/>
        <v>06</v>
      </c>
      <c r="K11" t="str">
        <f t="shared" si="8"/>
        <v>4</v>
      </c>
      <c r="L11" t="str">
        <f t="shared" si="9"/>
        <v>04</v>
      </c>
      <c r="M11" t="str">
        <f t="shared" si="10"/>
        <v>Apr</v>
      </c>
      <c r="N11" t="str">
        <f t="shared" si="11"/>
        <v>April</v>
      </c>
      <c r="O11" t="str">
        <f t="shared" si="12"/>
        <v>22</v>
      </c>
      <c r="P11" t="str">
        <f t="shared" si="13"/>
        <v>22</v>
      </c>
      <c r="Q11" t="str">
        <f t="shared" si="14"/>
        <v>Sat</v>
      </c>
      <c r="R11" t="str">
        <f t="shared" si="15"/>
        <v>Saturday</v>
      </c>
      <c r="S11" t="str">
        <f t="shared" si="16"/>
        <v>09</v>
      </c>
      <c r="T11" t="str">
        <f t="shared" si="17"/>
        <v>009</v>
      </c>
      <c r="U11">
        <f t="shared" si="18"/>
        <v>9</v>
      </c>
    </row>
    <row r="12" spans="1:22" x14ac:dyDescent="0.3">
      <c r="A12" s="2">
        <v>39561</v>
      </c>
      <c r="B12">
        <v>6</v>
      </c>
      <c r="C12">
        <f t="shared" si="0"/>
        <v>2008</v>
      </c>
      <c r="D12">
        <f t="shared" si="1"/>
        <v>23</v>
      </c>
      <c r="E12">
        <f t="shared" si="2"/>
        <v>4</v>
      </c>
      <c r="F12" t="b">
        <f t="shared" si="3"/>
        <v>0</v>
      </c>
      <c r="G12" t="b">
        <f t="shared" si="4"/>
        <v>1</v>
      </c>
      <c r="H12" t="b">
        <f t="shared" si="5"/>
        <v>0</v>
      </c>
      <c r="I12" t="str">
        <f t="shared" si="6"/>
        <v>2008</v>
      </c>
      <c r="J12" t="str">
        <f t="shared" si="7"/>
        <v>08</v>
      </c>
      <c r="K12" t="str">
        <f t="shared" si="8"/>
        <v>4</v>
      </c>
      <c r="L12" t="str">
        <f t="shared" si="9"/>
        <v>04</v>
      </c>
      <c r="M12" t="str">
        <f t="shared" si="10"/>
        <v>Apr</v>
      </c>
      <c r="N12" t="str">
        <f t="shared" si="11"/>
        <v>April</v>
      </c>
      <c r="O12" t="str">
        <f t="shared" si="12"/>
        <v>23</v>
      </c>
      <c r="P12" t="str">
        <f t="shared" si="13"/>
        <v>23</v>
      </c>
      <c r="Q12" t="str">
        <f t="shared" si="14"/>
        <v>Wed</v>
      </c>
      <c r="R12" t="str">
        <f t="shared" si="15"/>
        <v>Wednesday</v>
      </c>
      <c r="S12" t="str">
        <f t="shared" si="16"/>
        <v>06</v>
      </c>
      <c r="T12" t="str">
        <f t="shared" si="17"/>
        <v>006</v>
      </c>
      <c r="U12">
        <f t="shared" si="18"/>
        <v>6</v>
      </c>
    </row>
    <row r="13" spans="1:22" x14ac:dyDescent="0.3">
      <c r="A13" s="2">
        <v>42148</v>
      </c>
      <c r="B13">
        <v>3</v>
      </c>
      <c r="C13">
        <f t="shared" si="0"/>
        <v>2015</v>
      </c>
      <c r="D13">
        <f t="shared" si="1"/>
        <v>24</v>
      </c>
      <c r="E13">
        <f t="shared" si="2"/>
        <v>5</v>
      </c>
      <c r="F13" t="b">
        <f t="shared" si="3"/>
        <v>0</v>
      </c>
      <c r="G13" t="b">
        <f t="shared" si="4"/>
        <v>0</v>
      </c>
      <c r="H13" t="b">
        <f t="shared" si="5"/>
        <v>1</v>
      </c>
      <c r="I13" t="str">
        <f t="shared" si="6"/>
        <v>2015</v>
      </c>
      <c r="J13" t="str">
        <f t="shared" si="7"/>
        <v>15</v>
      </c>
      <c r="K13" t="str">
        <f t="shared" si="8"/>
        <v>5</v>
      </c>
      <c r="L13" t="str">
        <f t="shared" si="9"/>
        <v>05</v>
      </c>
      <c r="M13" t="str">
        <f t="shared" si="10"/>
        <v>May</v>
      </c>
      <c r="N13" t="str">
        <f t="shared" si="11"/>
        <v>May</v>
      </c>
      <c r="O13" t="str">
        <f t="shared" si="12"/>
        <v>24</v>
      </c>
      <c r="P13" t="str">
        <f t="shared" si="13"/>
        <v>24</v>
      </c>
      <c r="Q13" t="str">
        <f t="shared" si="14"/>
        <v>Sun</v>
      </c>
      <c r="R13" t="str">
        <f t="shared" si="15"/>
        <v>Sunday</v>
      </c>
      <c r="S13" t="str">
        <f t="shared" si="16"/>
        <v>03</v>
      </c>
      <c r="T13" t="str">
        <f t="shared" si="17"/>
        <v>003</v>
      </c>
      <c r="U13">
        <f t="shared" si="18"/>
        <v>3</v>
      </c>
    </row>
    <row r="14" spans="1:22" x14ac:dyDescent="0.3">
      <c r="A14" s="2">
        <v>39807</v>
      </c>
      <c r="B14">
        <v>66</v>
      </c>
      <c r="C14">
        <f t="shared" si="0"/>
        <v>2008</v>
      </c>
      <c r="D14">
        <f t="shared" si="1"/>
        <v>25</v>
      </c>
      <c r="E14">
        <f t="shared" si="2"/>
        <v>12</v>
      </c>
      <c r="F14" t="b">
        <f t="shared" si="3"/>
        <v>0</v>
      </c>
      <c r="G14" t="b">
        <f t="shared" si="4"/>
        <v>1</v>
      </c>
      <c r="H14" t="b">
        <f t="shared" si="5"/>
        <v>1</v>
      </c>
      <c r="I14" t="str">
        <f t="shared" si="6"/>
        <v>2008</v>
      </c>
      <c r="J14" t="str">
        <f t="shared" si="7"/>
        <v>08</v>
      </c>
      <c r="K14" t="str">
        <f t="shared" si="8"/>
        <v>12</v>
      </c>
      <c r="L14" t="str">
        <f t="shared" si="9"/>
        <v>12</v>
      </c>
      <c r="M14" t="str">
        <f t="shared" si="10"/>
        <v>Dec</v>
      </c>
      <c r="N14" t="str">
        <f t="shared" si="11"/>
        <v>December</v>
      </c>
      <c r="O14" t="str">
        <f t="shared" si="12"/>
        <v>25</v>
      </c>
      <c r="P14" t="str">
        <f t="shared" si="13"/>
        <v>25</v>
      </c>
      <c r="Q14" t="str">
        <f t="shared" si="14"/>
        <v>Thu</v>
      </c>
      <c r="R14" t="str">
        <f t="shared" si="15"/>
        <v>Thursday</v>
      </c>
      <c r="S14" t="str">
        <f t="shared" si="16"/>
        <v>66</v>
      </c>
      <c r="T14" t="str">
        <f t="shared" si="17"/>
        <v>066</v>
      </c>
      <c r="U14">
        <f t="shared" si="18"/>
        <v>66</v>
      </c>
    </row>
    <row r="15" spans="1:22" x14ac:dyDescent="0.3">
      <c r="A15" s="2">
        <v>39655</v>
      </c>
      <c r="B15">
        <v>7</v>
      </c>
      <c r="C15">
        <f t="shared" si="0"/>
        <v>2008</v>
      </c>
      <c r="D15">
        <f t="shared" si="1"/>
        <v>26</v>
      </c>
      <c r="E15">
        <f t="shared" si="2"/>
        <v>7</v>
      </c>
      <c r="F15" t="b">
        <f t="shared" si="3"/>
        <v>0</v>
      </c>
      <c r="G15" t="b">
        <f t="shared" si="4"/>
        <v>0</v>
      </c>
      <c r="H15" t="b">
        <f t="shared" si="5"/>
        <v>1</v>
      </c>
      <c r="I15" t="str">
        <f t="shared" si="6"/>
        <v>2008</v>
      </c>
      <c r="J15" t="str">
        <f t="shared" si="7"/>
        <v>08</v>
      </c>
      <c r="K15" t="str">
        <f t="shared" si="8"/>
        <v>7</v>
      </c>
      <c r="L15" t="str">
        <f t="shared" si="9"/>
        <v>07</v>
      </c>
      <c r="M15" t="str">
        <f t="shared" si="10"/>
        <v>Jul</v>
      </c>
      <c r="N15" t="str">
        <f t="shared" si="11"/>
        <v>July</v>
      </c>
      <c r="O15" t="str">
        <f t="shared" si="12"/>
        <v>26</v>
      </c>
      <c r="P15" t="str">
        <f t="shared" si="13"/>
        <v>26</v>
      </c>
      <c r="Q15" t="str">
        <f t="shared" si="14"/>
        <v>Sat</v>
      </c>
      <c r="R15" t="str">
        <f t="shared" si="15"/>
        <v>Saturday</v>
      </c>
      <c r="S15" t="str">
        <f t="shared" si="16"/>
        <v>07</v>
      </c>
      <c r="T15" t="str">
        <f t="shared" si="17"/>
        <v>007</v>
      </c>
      <c r="U15">
        <f t="shared" si="18"/>
        <v>7</v>
      </c>
    </row>
    <row r="16" spans="1:22" x14ac:dyDescent="0.3">
      <c r="A16" s="2">
        <v>39564</v>
      </c>
      <c r="B16">
        <v>15</v>
      </c>
      <c r="C16">
        <f t="shared" si="0"/>
        <v>2008</v>
      </c>
      <c r="D16">
        <f t="shared" si="1"/>
        <v>26</v>
      </c>
      <c r="E16">
        <f t="shared" si="2"/>
        <v>4</v>
      </c>
      <c r="F16" t="b">
        <f t="shared" si="3"/>
        <v>1</v>
      </c>
      <c r="G16" t="b">
        <f t="shared" si="4"/>
        <v>1</v>
      </c>
      <c r="H16" t="b">
        <f t="shared" si="5"/>
        <v>0</v>
      </c>
      <c r="I16" t="str">
        <f t="shared" si="6"/>
        <v>2008</v>
      </c>
      <c r="J16" t="str">
        <f t="shared" si="7"/>
        <v>08</v>
      </c>
      <c r="K16" t="str">
        <f t="shared" si="8"/>
        <v>4</v>
      </c>
      <c r="L16" t="str">
        <f t="shared" si="9"/>
        <v>04</v>
      </c>
      <c r="M16" t="str">
        <f t="shared" si="10"/>
        <v>Apr</v>
      </c>
      <c r="N16" t="str">
        <f t="shared" si="11"/>
        <v>April</v>
      </c>
      <c r="O16" t="str">
        <f t="shared" si="12"/>
        <v>26</v>
      </c>
      <c r="P16" t="str">
        <f t="shared" si="13"/>
        <v>26</v>
      </c>
      <c r="Q16" t="str">
        <f t="shared" si="14"/>
        <v>Sat</v>
      </c>
      <c r="R16" t="str">
        <f t="shared" si="15"/>
        <v>Saturday</v>
      </c>
      <c r="S16" t="str">
        <f t="shared" si="16"/>
        <v>15</v>
      </c>
      <c r="T16" t="str">
        <f t="shared" si="17"/>
        <v>015</v>
      </c>
      <c r="U16">
        <f t="shared" si="18"/>
        <v>15</v>
      </c>
    </row>
    <row r="17" spans="1:21" x14ac:dyDescent="0.3">
      <c r="A17" s="2">
        <v>39809</v>
      </c>
      <c r="B17">
        <v>10</v>
      </c>
      <c r="C17">
        <f t="shared" si="0"/>
        <v>2008</v>
      </c>
      <c r="D17">
        <f t="shared" si="1"/>
        <v>27</v>
      </c>
      <c r="E17">
        <f t="shared" si="2"/>
        <v>12</v>
      </c>
      <c r="F17" t="b">
        <f t="shared" si="3"/>
        <v>0</v>
      </c>
      <c r="G17" t="b">
        <f t="shared" si="4"/>
        <v>1</v>
      </c>
      <c r="H17" t="b">
        <f t="shared" si="5"/>
        <v>1</v>
      </c>
      <c r="I17" t="str">
        <f t="shared" si="6"/>
        <v>2008</v>
      </c>
      <c r="J17" t="str">
        <f t="shared" si="7"/>
        <v>08</v>
      </c>
      <c r="K17" t="str">
        <f t="shared" si="8"/>
        <v>12</v>
      </c>
      <c r="L17" t="str">
        <f t="shared" si="9"/>
        <v>12</v>
      </c>
      <c r="M17" t="str">
        <f t="shared" si="10"/>
        <v>Dec</v>
      </c>
      <c r="N17" t="str">
        <f t="shared" si="11"/>
        <v>December</v>
      </c>
      <c r="O17" t="str">
        <f t="shared" si="12"/>
        <v>27</v>
      </c>
      <c r="P17" t="str">
        <f t="shared" si="13"/>
        <v>27</v>
      </c>
      <c r="Q17" t="str">
        <f t="shared" si="14"/>
        <v>Sat</v>
      </c>
      <c r="R17" t="str">
        <f t="shared" si="15"/>
        <v>Saturday</v>
      </c>
      <c r="S17" t="str">
        <f t="shared" si="16"/>
        <v>10</v>
      </c>
      <c r="T17" t="str">
        <f t="shared" si="17"/>
        <v>010</v>
      </c>
      <c r="U17">
        <f t="shared" si="18"/>
        <v>10</v>
      </c>
    </row>
    <row r="18" spans="1:21" x14ac:dyDescent="0.3">
      <c r="A18" s="2">
        <v>39718</v>
      </c>
      <c r="B18">
        <v>4</v>
      </c>
      <c r="C18">
        <f t="shared" si="0"/>
        <v>2008</v>
      </c>
      <c r="D18">
        <f t="shared" si="1"/>
        <v>27</v>
      </c>
      <c r="E18">
        <f t="shared" si="2"/>
        <v>9</v>
      </c>
      <c r="F18" t="b">
        <f t="shared" si="3"/>
        <v>0</v>
      </c>
      <c r="G18" t="b">
        <f t="shared" si="4"/>
        <v>0</v>
      </c>
      <c r="H18" t="b">
        <f t="shared" si="5"/>
        <v>1</v>
      </c>
      <c r="I18" t="str">
        <f t="shared" si="6"/>
        <v>2008</v>
      </c>
      <c r="J18" t="str">
        <f t="shared" si="7"/>
        <v>08</v>
      </c>
      <c r="K18" t="str">
        <f t="shared" si="8"/>
        <v>9</v>
      </c>
      <c r="L18" t="str">
        <f t="shared" si="9"/>
        <v>09</v>
      </c>
      <c r="M18" t="str">
        <f t="shared" si="10"/>
        <v>Sep</v>
      </c>
      <c r="N18" t="str">
        <f t="shared" si="11"/>
        <v>September</v>
      </c>
      <c r="O18" t="str">
        <f t="shared" si="12"/>
        <v>27</v>
      </c>
      <c r="P18" t="str">
        <f t="shared" si="13"/>
        <v>27</v>
      </c>
      <c r="Q18" t="str">
        <f t="shared" si="14"/>
        <v>Sat</v>
      </c>
      <c r="R18" t="str">
        <f t="shared" si="15"/>
        <v>Saturday</v>
      </c>
      <c r="S18" t="str">
        <f t="shared" si="16"/>
        <v>04</v>
      </c>
      <c r="T18" t="str">
        <f t="shared" si="17"/>
        <v>004</v>
      </c>
      <c r="U18">
        <f t="shared" si="18"/>
        <v>4</v>
      </c>
    </row>
    <row r="19" spans="1:21" x14ac:dyDescent="0.3">
      <c r="A19" s="2">
        <v>39688</v>
      </c>
      <c r="B19">
        <v>13</v>
      </c>
      <c r="C19">
        <f t="shared" si="0"/>
        <v>2008</v>
      </c>
      <c r="D19">
        <f t="shared" si="1"/>
        <v>28</v>
      </c>
      <c r="E19">
        <f t="shared" si="2"/>
        <v>8</v>
      </c>
      <c r="F19" t="b">
        <f t="shared" si="3"/>
        <v>0</v>
      </c>
      <c r="G19" t="b">
        <f t="shared" si="4"/>
        <v>1</v>
      </c>
      <c r="H19" t="b">
        <f t="shared" si="5"/>
        <v>1</v>
      </c>
      <c r="I19" t="str">
        <f t="shared" si="6"/>
        <v>2008</v>
      </c>
      <c r="J19" t="str">
        <f t="shared" si="7"/>
        <v>08</v>
      </c>
      <c r="K19" t="str">
        <f t="shared" si="8"/>
        <v>8</v>
      </c>
      <c r="L19" t="str">
        <f t="shared" si="9"/>
        <v>08</v>
      </c>
      <c r="M19" t="str">
        <f t="shared" si="10"/>
        <v>Aug</v>
      </c>
      <c r="N19" t="str">
        <f t="shared" si="11"/>
        <v>August</v>
      </c>
      <c r="O19" t="str">
        <f t="shared" si="12"/>
        <v>28</v>
      </c>
      <c r="P19" t="str">
        <f t="shared" si="13"/>
        <v>28</v>
      </c>
      <c r="Q19" t="str">
        <f t="shared" si="14"/>
        <v>Thu</v>
      </c>
      <c r="R19" t="str">
        <f t="shared" si="15"/>
        <v>Thursday</v>
      </c>
      <c r="S19" t="str">
        <f t="shared" si="16"/>
        <v>13</v>
      </c>
      <c r="T19" t="str">
        <f t="shared" si="17"/>
        <v>013</v>
      </c>
      <c r="U19">
        <f t="shared" si="18"/>
        <v>13</v>
      </c>
    </row>
    <row r="20" spans="1:21" x14ac:dyDescent="0.3">
      <c r="A20" s="2">
        <v>39507</v>
      </c>
      <c r="B20">
        <v>7</v>
      </c>
      <c r="C20">
        <f t="shared" si="0"/>
        <v>2008</v>
      </c>
      <c r="D20">
        <f t="shared" si="1"/>
        <v>29</v>
      </c>
      <c r="E20">
        <f t="shared" si="2"/>
        <v>2</v>
      </c>
      <c r="F20" t="b">
        <f t="shared" si="3"/>
        <v>0</v>
      </c>
      <c r="G20" t="b">
        <f t="shared" si="4"/>
        <v>0</v>
      </c>
      <c r="H20" t="b">
        <f t="shared" si="5"/>
        <v>1</v>
      </c>
      <c r="I20" t="str">
        <f t="shared" si="6"/>
        <v>2008</v>
      </c>
      <c r="J20" t="str">
        <f t="shared" si="7"/>
        <v>08</v>
      </c>
      <c r="K20" t="str">
        <f t="shared" si="8"/>
        <v>2</v>
      </c>
      <c r="L20" t="str">
        <f t="shared" si="9"/>
        <v>02</v>
      </c>
      <c r="M20" t="str">
        <f t="shared" si="10"/>
        <v>Feb</v>
      </c>
      <c r="N20" t="str">
        <f t="shared" si="11"/>
        <v>February</v>
      </c>
      <c r="O20" t="str">
        <f t="shared" si="12"/>
        <v>29</v>
      </c>
      <c r="P20" t="str">
        <f t="shared" si="13"/>
        <v>29</v>
      </c>
      <c r="Q20" t="str">
        <f t="shared" si="14"/>
        <v>Fri</v>
      </c>
      <c r="R20" t="str">
        <f t="shared" si="15"/>
        <v>Friday</v>
      </c>
      <c r="S20" t="str">
        <f t="shared" si="16"/>
        <v>07</v>
      </c>
      <c r="T20" t="str">
        <f t="shared" si="17"/>
        <v>007</v>
      </c>
      <c r="U20">
        <f t="shared" si="18"/>
        <v>7</v>
      </c>
    </row>
    <row r="21" spans="1:21" x14ac:dyDescent="0.3">
      <c r="A21" s="2"/>
    </row>
    <row r="22" spans="1:21" ht="15" thickBot="1" x14ac:dyDescent="0.35">
      <c r="A22" s="3"/>
      <c r="S22">
        <f>SUM(S6:S20)</f>
        <v>0</v>
      </c>
      <c r="U22">
        <f>SUM(U6:U20)</f>
        <v>198</v>
      </c>
    </row>
    <row r="23" spans="1:21" x14ac:dyDescent="0.3">
      <c r="B23" s="7" t="s">
        <v>63</v>
      </c>
      <c r="C23" s="6">
        <v>40</v>
      </c>
      <c r="E23" t="s">
        <v>64</v>
      </c>
      <c r="S23">
        <f>S6+S7+S8+S9</f>
        <v>52</v>
      </c>
    </row>
    <row r="24" spans="1:21" ht="15" thickBot="1" x14ac:dyDescent="0.35">
      <c r="B24" s="8" t="s">
        <v>65</v>
      </c>
      <c r="C24" s="5" t="b">
        <f>AND(C23&gt;=30, C23&lt;=40)</f>
        <v>1</v>
      </c>
      <c r="E24" s="2">
        <f>DATE(2006, 9, 17)</f>
        <v>38977</v>
      </c>
      <c r="F24" t="str">
        <f>TEXT(E24, "dddd")</f>
        <v>Sunday</v>
      </c>
    </row>
    <row r="25" spans="1:21" ht="15" thickBot="1" x14ac:dyDescent="0.35">
      <c r="A25" s="3"/>
    </row>
    <row r="26" spans="1:21" x14ac:dyDescent="0.3">
      <c r="B26" s="7" t="s">
        <v>77</v>
      </c>
      <c r="C26" s="6" t="s">
        <v>24</v>
      </c>
      <c r="E26" t="s">
        <v>66</v>
      </c>
      <c r="F26" t="s">
        <v>47</v>
      </c>
    </row>
    <row r="27" spans="1:21" ht="15" thickBot="1" x14ac:dyDescent="0.35">
      <c r="B27" s="8" t="s">
        <v>67</v>
      </c>
      <c r="C27" s="5" t="str">
        <f>IF(OR(C26="Dr", C26="Prof"), "Yes", "No")</f>
        <v>Yes</v>
      </c>
      <c r="E27" s="4">
        <f ca="1">NOW()</f>
        <v>46099.745055439816</v>
      </c>
      <c r="F27">
        <f ca="1">YEAR(E27)</f>
        <v>2026</v>
      </c>
    </row>
    <row r="28" spans="1:21" ht="15" thickBot="1" x14ac:dyDescent="0.35"/>
    <row r="29" spans="1:21" x14ac:dyDescent="0.3">
      <c r="B29" s="7" t="s">
        <v>69</v>
      </c>
      <c r="C29" s="6">
        <v>2010</v>
      </c>
    </row>
    <row r="30" spans="1:21" ht="15" thickBot="1" x14ac:dyDescent="0.35">
      <c r="B30" s="8" t="s">
        <v>70</v>
      </c>
      <c r="C30" s="5" t="str">
        <f>IF(C29=2006, "Yes", "No")</f>
        <v>No</v>
      </c>
    </row>
    <row r="31" spans="1:21" ht="15" thickBot="1" x14ac:dyDescent="0.35"/>
    <row r="32" spans="1:21" x14ac:dyDescent="0.3">
      <c r="B32" s="7" t="s">
        <v>63</v>
      </c>
      <c r="C32" s="6">
        <v>40</v>
      </c>
    </row>
    <row r="33" spans="2:4" ht="15" thickBot="1" x14ac:dyDescent="0.35">
      <c r="B33" s="8" t="s">
        <v>68</v>
      </c>
      <c r="C33" s="5" t="b">
        <f>NOT(AND(C32&gt;=30, C32&lt;=40))</f>
        <v>0</v>
      </c>
      <c r="D33" t="s">
        <v>78</v>
      </c>
    </row>
  </sheetData>
  <mergeCells count="1">
    <mergeCell ref="I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flashfill and concat</vt:lpstr>
      <vt:lpstr>logical operators and text 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2026-03-18T12:22:54Z</dcterms:modified>
</cp:coreProperties>
</file>