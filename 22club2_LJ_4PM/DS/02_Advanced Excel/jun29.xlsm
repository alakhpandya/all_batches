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akh Pandya\Desktop\Batches\22club2_LJ_4PM\DS\02_Advanced Excel\"/>
    </mc:Choice>
  </mc:AlternateContent>
  <xr:revisionPtr revIDLastSave="0" documentId="13_ncr:1_{B17349F0-E3B4-47ED-BC09-7CF22F93F0E1}" xr6:coauthVersionLast="47" xr6:coauthVersionMax="47" xr10:uidLastSave="{00000000-0000-0000-0000-000000000000}"/>
  <bookViews>
    <workbookView xWindow="-108" yWindow="-108" windowWidth="23256" windowHeight="12576" xr2:uid="{4019484E-DD1F-4C89-93B6-57502E10BC5E}"/>
  </bookViews>
  <sheets>
    <sheet name="Sheet 1" sheetId="2" r:id="rId1"/>
    <sheet name="Sheet 2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D15" i="1"/>
  <c r="E15" i="1"/>
  <c r="B15" i="1"/>
  <c r="C14" i="1"/>
  <c r="D14" i="1"/>
  <c r="E14" i="1"/>
  <c r="B14" i="1"/>
  <c r="E13" i="1"/>
  <c r="D13" i="1"/>
  <c r="C13" i="1"/>
  <c r="B13" i="1"/>
  <c r="E3" i="1"/>
  <c r="E4" i="1"/>
  <c r="E5" i="1"/>
  <c r="E6" i="1"/>
  <c r="E7" i="1"/>
  <c r="E8" i="1"/>
  <c r="E9" i="1"/>
  <c r="E10" i="1"/>
  <c r="E11" i="1"/>
  <c r="E2" i="1"/>
  <c r="D3" i="1"/>
  <c r="D4" i="1"/>
  <c r="D5" i="1"/>
  <c r="D6" i="1"/>
  <c r="D7" i="1"/>
  <c r="D8" i="1"/>
  <c r="D9" i="1"/>
  <c r="D10" i="1"/>
  <c r="D11" i="1"/>
  <c r="D12" i="1"/>
  <c r="D16" i="1"/>
  <c r="D17" i="1"/>
  <c r="D18" i="1"/>
  <c r="D19" i="1"/>
  <c r="D20" i="1"/>
  <c r="D21" i="1"/>
  <c r="D22" i="1"/>
  <c r="D23" i="1"/>
  <c r="D24" i="1"/>
  <c r="D25" i="1"/>
  <c r="D2" i="1"/>
  <c r="C15" i="2"/>
  <c r="D15" i="2"/>
  <c r="E15" i="2"/>
  <c r="B15" i="2"/>
  <c r="C14" i="2"/>
  <c r="D14" i="2"/>
  <c r="E14" i="2"/>
  <c r="B14" i="2"/>
  <c r="E13" i="2"/>
  <c r="D13" i="2"/>
  <c r="C13" i="2"/>
  <c r="B13" i="2"/>
  <c r="E3" i="2"/>
  <c r="E4" i="2"/>
  <c r="E5" i="2"/>
  <c r="E6" i="2"/>
  <c r="E7" i="2"/>
  <c r="E8" i="2"/>
  <c r="E9" i="2"/>
  <c r="E10" i="2"/>
  <c r="E11" i="2"/>
  <c r="E2" i="2"/>
  <c r="D3" i="2"/>
  <c r="D4" i="2"/>
  <c r="D5" i="2"/>
  <c r="D6" i="2"/>
  <c r="D7" i="2"/>
  <c r="D8" i="2"/>
  <c r="D9" i="2"/>
  <c r="D10" i="2"/>
  <c r="D11" i="2"/>
  <c r="D2" i="2"/>
</calcChain>
</file>

<file path=xl/sharedStrings.xml><?xml version="1.0" encoding="utf-8"?>
<sst xmlns="http://schemas.openxmlformats.org/spreadsheetml/2006/main" count="36" uniqueCount="28">
  <si>
    <t>Total</t>
  </si>
  <si>
    <t>Name</t>
  </si>
  <si>
    <t>Test 1</t>
  </si>
  <si>
    <t>Test 2</t>
  </si>
  <si>
    <t>Aaswath Ramraj</t>
  </si>
  <si>
    <t>Dev Patel</t>
  </si>
  <si>
    <t>Het Patel</t>
  </si>
  <si>
    <t>Kalp Patani</t>
  </si>
  <si>
    <t>Nilay Shah</t>
  </si>
  <si>
    <t>Tathya Patel</t>
  </si>
  <si>
    <t>Tithi Prajapati</t>
  </si>
  <si>
    <t>Vansh Shah</t>
  </si>
  <si>
    <t>Zeel Prajapati</t>
  </si>
  <si>
    <t>Utsav Bhavsar</t>
  </si>
  <si>
    <t>Aditya Singh Kushwaha</t>
  </si>
  <si>
    <t>Agnivesh Patel</t>
  </si>
  <si>
    <t>Aryan Mehtani</t>
  </si>
  <si>
    <t>Ayush Thakkar</t>
  </si>
  <si>
    <t>Bianca</t>
  </si>
  <si>
    <t>Cherish Patel</t>
  </si>
  <si>
    <t>Devanshu Kamble</t>
  </si>
  <si>
    <t>Dhruv Raiyani</t>
  </si>
  <si>
    <t>Dhruvi Desai</t>
  </si>
  <si>
    <t>Dhruvi Thakkar</t>
  </si>
  <si>
    <t>Percentage</t>
  </si>
  <si>
    <t>Mean</t>
  </si>
  <si>
    <t>Median</t>
  </si>
  <si>
    <t>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</si>
</sst>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right" vertical="top"/>
    </xf>
    <xf numFmtId="0" fontId="2" fillId="2" borderId="1" xfId="0" applyFont="1" applyFill="1" applyBorder="1" applyAlignment="1">
      <alignment horizontal="left" vertical="top"/>
    </xf>
    <xf numFmtId="0" fontId="0" fillId="0" borderId="1" xfId="0" applyBorder="1"/>
    <xf numFmtId="0" fontId="1" fillId="2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12C23-05DA-41B4-B87D-40DF981C93D9}">
  <sheetPr codeName="Sheet1"/>
  <dimension ref="A1:E15"/>
  <sheetViews>
    <sheetView tabSelected="1" workbookViewId="0">
      <selection activeCell="I9" sqref="I9"/>
    </sheetView>
  </sheetViews>
  <sheetFormatPr defaultRowHeight="14.4" x14ac:dyDescent="0.3"/>
  <cols>
    <col min="1" max="1" width="14.33203125" bestFit="1" customWidth="1"/>
    <col min="2" max="3" width="6.5546875" bestFit="1" customWidth="1"/>
    <col min="4" max="4" width="6" bestFit="1" customWidth="1"/>
    <col min="5" max="5" width="11.33203125" bestFit="1" customWidth="1"/>
  </cols>
  <sheetData>
    <row r="1" spans="1:5" ht="15.6" x14ac:dyDescent="0.3">
      <c r="A1" s="2" t="s">
        <v>1</v>
      </c>
      <c r="B1" s="2" t="s">
        <v>2</v>
      </c>
      <c r="C1" s="2" t="s">
        <v>3</v>
      </c>
      <c r="D1" s="2" t="s">
        <v>0</v>
      </c>
      <c r="E1" s="2" t="s">
        <v>24</v>
      </c>
    </row>
    <row r="2" spans="1:5" x14ac:dyDescent="0.3">
      <c r="A2" s="3" t="s">
        <v>4</v>
      </c>
      <c r="B2" s="1">
        <v>30</v>
      </c>
      <c r="C2" s="1">
        <v>44</v>
      </c>
      <c r="D2" s="3">
        <f>B2+C2</f>
        <v>74</v>
      </c>
      <c r="E2" s="3">
        <f>D2/2</f>
        <v>37</v>
      </c>
    </row>
    <row r="3" spans="1:5" x14ac:dyDescent="0.3">
      <c r="A3" s="3" t="s">
        <v>5</v>
      </c>
      <c r="B3" s="1">
        <v>25</v>
      </c>
      <c r="C3" s="1">
        <v>29</v>
      </c>
      <c r="D3" s="3">
        <f t="shared" ref="D3:D11" si="0">B3+C3</f>
        <v>54</v>
      </c>
      <c r="E3" s="3">
        <f t="shared" ref="E3:E11" si="1">D3/2</f>
        <v>27</v>
      </c>
    </row>
    <row r="4" spans="1:5" x14ac:dyDescent="0.3">
      <c r="A4" s="3" t="s">
        <v>6</v>
      </c>
      <c r="B4" s="1">
        <v>35</v>
      </c>
      <c r="C4" s="1">
        <v>45</v>
      </c>
      <c r="D4" s="3">
        <f t="shared" si="0"/>
        <v>80</v>
      </c>
      <c r="E4" s="3">
        <f t="shared" si="1"/>
        <v>40</v>
      </c>
    </row>
    <row r="5" spans="1:5" x14ac:dyDescent="0.3">
      <c r="A5" s="3" t="s">
        <v>7</v>
      </c>
      <c r="B5" s="1">
        <v>50</v>
      </c>
      <c r="C5" s="1">
        <v>45</v>
      </c>
      <c r="D5" s="3">
        <f t="shared" si="0"/>
        <v>95</v>
      </c>
      <c r="E5" s="3">
        <f t="shared" si="1"/>
        <v>47.5</v>
      </c>
    </row>
    <row r="6" spans="1:5" x14ac:dyDescent="0.3">
      <c r="A6" s="3" t="s">
        <v>8</v>
      </c>
      <c r="B6" s="1">
        <v>49</v>
      </c>
      <c r="C6" s="1">
        <v>42</v>
      </c>
      <c r="D6" s="3">
        <f t="shared" si="0"/>
        <v>91</v>
      </c>
      <c r="E6" s="3">
        <f t="shared" si="1"/>
        <v>45.5</v>
      </c>
    </row>
    <row r="7" spans="1:5" x14ac:dyDescent="0.3">
      <c r="A7" s="3" t="s">
        <v>9</v>
      </c>
      <c r="B7" s="1">
        <v>22</v>
      </c>
      <c r="C7" s="1">
        <v>37</v>
      </c>
      <c r="D7" s="3">
        <f t="shared" si="0"/>
        <v>59</v>
      </c>
      <c r="E7" s="3">
        <f t="shared" si="1"/>
        <v>29.5</v>
      </c>
    </row>
    <row r="8" spans="1:5" x14ac:dyDescent="0.3">
      <c r="A8" s="3" t="s">
        <v>10</v>
      </c>
      <c r="B8" s="1">
        <v>48</v>
      </c>
      <c r="C8" s="1">
        <v>40</v>
      </c>
      <c r="D8" s="3">
        <f t="shared" si="0"/>
        <v>88</v>
      </c>
      <c r="E8" s="3">
        <f t="shared" si="1"/>
        <v>44</v>
      </c>
    </row>
    <row r="9" spans="1:5" x14ac:dyDescent="0.3">
      <c r="A9" s="3" t="s">
        <v>11</v>
      </c>
      <c r="B9" s="1">
        <v>28</v>
      </c>
      <c r="C9" s="1">
        <v>38</v>
      </c>
      <c r="D9" s="3">
        <f t="shared" si="0"/>
        <v>66</v>
      </c>
      <c r="E9" s="3">
        <f t="shared" si="1"/>
        <v>33</v>
      </c>
    </row>
    <row r="10" spans="1:5" x14ac:dyDescent="0.3">
      <c r="A10" s="3" t="s">
        <v>12</v>
      </c>
      <c r="B10" s="1">
        <v>33</v>
      </c>
      <c r="C10" s="1">
        <v>29</v>
      </c>
      <c r="D10" s="3">
        <f t="shared" si="0"/>
        <v>62</v>
      </c>
      <c r="E10" s="3">
        <f t="shared" si="1"/>
        <v>31</v>
      </c>
    </row>
    <row r="11" spans="1:5" x14ac:dyDescent="0.3">
      <c r="A11" s="3" t="s">
        <v>13</v>
      </c>
      <c r="B11" s="1">
        <v>40</v>
      </c>
      <c r="C11" s="1">
        <v>26</v>
      </c>
      <c r="D11" s="3">
        <f t="shared" si="0"/>
        <v>66</v>
      </c>
      <c r="E11" s="3">
        <f t="shared" si="1"/>
        <v>33</v>
      </c>
    </row>
    <row r="13" spans="1:5" x14ac:dyDescent="0.3">
      <c r="A13" s="4" t="s">
        <v>25</v>
      </c>
      <c r="B13" s="3">
        <f>ROUND(AVERAGE(B2:B11), 2)</f>
        <v>36</v>
      </c>
      <c r="C13" s="3">
        <f>ROUND(AVERAGE(C2:C11), 2)</f>
        <v>37.5</v>
      </c>
      <c r="D13" s="3">
        <f>ROUND(AVERAGE(D2:D11), 2)</f>
        <v>73.5</v>
      </c>
      <c r="E13" s="3">
        <f>ROUND(AVERAGE(E2:E11), 2)</f>
        <v>36.75</v>
      </c>
    </row>
    <row r="14" spans="1:5" x14ac:dyDescent="0.3">
      <c r="A14" s="4" t="s">
        <v>26</v>
      </c>
      <c r="B14" s="3">
        <f>ROUND(MEDIAN(B2:B11), 2)</f>
        <v>34</v>
      </c>
      <c r="C14" s="3">
        <f t="shared" ref="C14:E14" si="2">ROUND(MEDIAN(C2:C11), 2)</f>
        <v>39</v>
      </c>
      <c r="D14" s="3">
        <f t="shared" si="2"/>
        <v>70</v>
      </c>
      <c r="E14" s="3">
        <f t="shared" si="2"/>
        <v>35</v>
      </c>
    </row>
    <row r="15" spans="1:5" x14ac:dyDescent="0.3">
      <c r="A15" s="4" t="s">
        <v>27</v>
      </c>
      <c r="B15" s="3">
        <f>ROUND(STDEV(B2:B11), 2)</f>
        <v>10.28</v>
      </c>
      <c r="C15" s="3">
        <f t="shared" ref="C15:E15" si="3">ROUND(STDEV(C2:C11), 2)</f>
        <v>7.14</v>
      </c>
      <c r="D15" s="3">
        <f t="shared" si="3"/>
        <v>14.36</v>
      </c>
      <c r="E15" s="3">
        <f t="shared" si="3"/>
        <v>7.18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04EDC-D393-48CD-8063-F70DDC7ECBFD}">
  <sheetPr codeName="Sheet2"/>
  <dimension ref="A1:E25"/>
  <sheetViews>
    <sheetView workbookViewId="0">
      <selection activeCell="D4" sqref="D4"/>
    </sheetView>
  </sheetViews>
  <sheetFormatPr defaultRowHeight="14.4" x14ac:dyDescent="0.3"/>
  <cols>
    <col min="1" max="1" width="19.6640625" bestFit="1" customWidth="1"/>
    <col min="2" max="3" width="5.88671875" bestFit="1" customWidth="1"/>
    <col min="4" max="4" width="5.21875" bestFit="1" customWidth="1"/>
    <col min="5" max="5" width="10.44140625" bestFit="1" customWidth="1"/>
  </cols>
  <sheetData>
    <row r="1" spans="1:5" x14ac:dyDescent="0.3">
      <c r="A1" s="7" t="s">
        <v>1</v>
      </c>
      <c r="B1" s="7" t="s">
        <v>2</v>
      </c>
      <c r="C1" s="7" t="s">
        <v>3</v>
      </c>
      <c r="D1" s="7" t="s">
        <v>0</v>
      </c>
      <c r="E1" s="7" t="s">
        <v>24</v>
      </c>
    </row>
    <row r="2" spans="1:5" x14ac:dyDescent="0.3">
      <c r="A2" s="3" t="s">
        <v>14</v>
      </c>
      <c r="B2" s="1">
        <v>10</v>
      </c>
      <c r="C2" s="1">
        <v>15</v>
      </c>
      <c r="D2" s="3">
        <f>B2+C2</f>
        <v>25</v>
      </c>
      <c r="E2" s="3">
        <f>D2/2</f>
        <v>12.5</v>
      </c>
    </row>
    <row r="3" spans="1:5" x14ac:dyDescent="0.3">
      <c r="A3" s="3" t="s">
        <v>15</v>
      </c>
      <c r="B3" s="1">
        <v>12</v>
      </c>
      <c r="C3" s="1">
        <v>12</v>
      </c>
      <c r="D3" s="3">
        <f t="shared" ref="D3:D25" si="0">B3+C3</f>
        <v>24</v>
      </c>
      <c r="E3" s="3">
        <f t="shared" ref="E3:E11" si="1">D3/2</f>
        <v>12</v>
      </c>
    </row>
    <row r="4" spans="1:5" x14ac:dyDescent="0.3">
      <c r="A4" s="3" t="s">
        <v>16</v>
      </c>
      <c r="B4" s="1">
        <v>11</v>
      </c>
      <c r="C4" s="1">
        <v>13</v>
      </c>
      <c r="D4" s="3">
        <f t="shared" si="0"/>
        <v>24</v>
      </c>
      <c r="E4" s="3">
        <f t="shared" si="1"/>
        <v>12</v>
      </c>
    </row>
    <row r="5" spans="1:5" x14ac:dyDescent="0.3">
      <c r="A5" s="3" t="s">
        <v>17</v>
      </c>
      <c r="B5" s="1">
        <v>9</v>
      </c>
      <c r="C5" s="1">
        <v>15</v>
      </c>
      <c r="D5" s="3">
        <f t="shared" si="0"/>
        <v>24</v>
      </c>
      <c r="E5" s="3">
        <f t="shared" si="1"/>
        <v>12</v>
      </c>
    </row>
    <row r="6" spans="1:5" x14ac:dyDescent="0.3">
      <c r="A6" s="3" t="s">
        <v>18</v>
      </c>
      <c r="B6" s="1">
        <v>14</v>
      </c>
      <c r="C6" s="1">
        <v>9</v>
      </c>
      <c r="D6" s="3">
        <f t="shared" si="0"/>
        <v>23</v>
      </c>
      <c r="E6" s="3">
        <f t="shared" si="1"/>
        <v>11.5</v>
      </c>
    </row>
    <row r="7" spans="1:5" x14ac:dyDescent="0.3">
      <c r="A7" s="3" t="s">
        <v>19</v>
      </c>
      <c r="B7" s="1">
        <v>15</v>
      </c>
      <c r="C7" s="1">
        <v>10</v>
      </c>
      <c r="D7" s="3">
        <f t="shared" si="0"/>
        <v>25</v>
      </c>
      <c r="E7" s="3">
        <f t="shared" si="1"/>
        <v>12.5</v>
      </c>
    </row>
    <row r="8" spans="1:5" x14ac:dyDescent="0.3">
      <c r="A8" s="3" t="s">
        <v>20</v>
      </c>
      <c r="B8" s="1">
        <v>13</v>
      </c>
      <c r="C8" s="1">
        <v>10</v>
      </c>
      <c r="D8" s="3">
        <f t="shared" si="0"/>
        <v>23</v>
      </c>
      <c r="E8" s="3">
        <f t="shared" si="1"/>
        <v>11.5</v>
      </c>
    </row>
    <row r="9" spans="1:5" x14ac:dyDescent="0.3">
      <c r="A9" s="3" t="s">
        <v>21</v>
      </c>
      <c r="B9" s="1">
        <v>7</v>
      </c>
      <c r="C9" s="1">
        <v>11</v>
      </c>
      <c r="D9" s="3">
        <f t="shared" si="0"/>
        <v>18</v>
      </c>
      <c r="E9" s="3">
        <f t="shared" si="1"/>
        <v>9</v>
      </c>
    </row>
    <row r="10" spans="1:5" x14ac:dyDescent="0.3">
      <c r="A10" s="3" t="s">
        <v>22</v>
      </c>
      <c r="B10" s="1">
        <v>8</v>
      </c>
      <c r="C10" s="1">
        <v>15</v>
      </c>
      <c r="D10" s="3">
        <f t="shared" si="0"/>
        <v>23</v>
      </c>
      <c r="E10" s="3">
        <f t="shared" si="1"/>
        <v>11.5</v>
      </c>
    </row>
    <row r="11" spans="1:5" x14ac:dyDescent="0.3">
      <c r="A11" s="3" t="s">
        <v>23</v>
      </c>
      <c r="B11" s="1">
        <v>9</v>
      </c>
      <c r="C11" s="1">
        <v>13</v>
      </c>
      <c r="D11" s="3">
        <f t="shared" si="0"/>
        <v>22</v>
      </c>
      <c r="E11" s="3">
        <f t="shared" si="1"/>
        <v>11</v>
      </c>
    </row>
    <row r="12" spans="1:5" x14ac:dyDescent="0.3">
      <c r="D12" s="5">
        <f t="shared" si="0"/>
        <v>0</v>
      </c>
    </row>
    <row r="13" spans="1:5" x14ac:dyDescent="0.3">
      <c r="A13" s="7" t="s">
        <v>25</v>
      </c>
      <c r="B13" s="3">
        <f>ROUND(AVERAGE(B2:B11), 2)</f>
        <v>10.8</v>
      </c>
      <c r="C13" s="3">
        <f>ROUND(AVERAGE(C2:C11), 2)</f>
        <v>12.3</v>
      </c>
      <c r="D13" s="3">
        <f>ROUND(AVERAGE(D2:D11), 2)</f>
        <v>23.1</v>
      </c>
      <c r="E13" s="3">
        <f>ROUND(AVERAGE(E2:E11), 2)</f>
        <v>11.55</v>
      </c>
    </row>
    <row r="14" spans="1:5" x14ac:dyDescent="0.3">
      <c r="A14" s="4" t="s">
        <v>26</v>
      </c>
      <c r="B14" s="3">
        <f>ROUND(MEDIAN(B2:B11), 2)</f>
        <v>10.5</v>
      </c>
      <c r="C14" s="3">
        <f t="shared" ref="C14:E14" si="2">ROUND(MEDIAN(C2:C11), 2)</f>
        <v>12.5</v>
      </c>
      <c r="D14" s="3">
        <f t="shared" si="2"/>
        <v>23.5</v>
      </c>
      <c r="E14" s="3">
        <f t="shared" si="2"/>
        <v>11.75</v>
      </c>
    </row>
    <row r="15" spans="1:5" x14ac:dyDescent="0.3">
      <c r="A15" s="4" t="s">
        <v>27</v>
      </c>
      <c r="B15" s="3">
        <f>ROUND(STDEV(B2:B11), 2)</f>
        <v>2.66</v>
      </c>
      <c r="C15" s="3">
        <f t="shared" ref="C15:E15" si="3">ROUND(STDEV(C2:C11), 2)</f>
        <v>2.2599999999999998</v>
      </c>
      <c r="D15" s="3">
        <f t="shared" si="3"/>
        <v>2.02</v>
      </c>
      <c r="E15" s="3">
        <f t="shared" si="3"/>
        <v>1.01</v>
      </c>
    </row>
    <row r="16" spans="1:5" x14ac:dyDescent="0.3">
      <c r="D16" s="6">
        <f t="shared" si="0"/>
        <v>0</v>
      </c>
    </row>
    <row r="17" spans="4:4" x14ac:dyDescent="0.3">
      <c r="D17" s="6">
        <f t="shared" si="0"/>
        <v>0</v>
      </c>
    </row>
    <row r="18" spans="4:4" x14ac:dyDescent="0.3">
      <c r="D18" s="6">
        <f t="shared" si="0"/>
        <v>0</v>
      </c>
    </row>
    <row r="19" spans="4:4" x14ac:dyDescent="0.3">
      <c r="D19" s="6">
        <f t="shared" si="0"/>
        <v>0</v>
      </c>
    </row>
    <row r="20" spans="4:4" x14ac:dyDescent="0.3">
      <c r="D20" s="6">
        <f t="shared" si="0"/>
        <v>0</v>
      </c>
    </row>
    <row r="21" spans="4:4" x14ac:dyDescent="0.3">
      <c r="D21" s="6">
        <f t="shared" si="0"/>
        <v>0</v>
      </c>
    </row>
    <row r="22" spans="4:4" x14ac:dyDescent="0.3">
      <c r="D22" s="6">
        <f t="shared" si="0"/>
        <v>0</v>
      </c>
    </row>
    <row r="23" spans="4:4" x14ac:dyDescent="0.3">
      <c r="D23" s="6">
        <f t="shared" si="0"/>
        <v>0</v>
      </c>
    </row>
    <row r="24" spans="4:4" x14ac:dyDescent="0.3">
      <c r="D24" s="6">
        <f t="shared" si="0"/>
        <v>0</v>
      </c>
    </row>
    <row r="25" spans="4:4" x14ac:dyDescent="0.3">
      <c r="D25" s="6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 1</vt:lpstr>
      <vt:lpstr>Sheet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2024-06-29T13:56:50Z</dcterms:created>
  <dcterms:modified xsi:type="dcterms:W3CDTF">2024-06-29T14:26:40Z</dcterms:modified>
</cp:coreProperties>
</file>