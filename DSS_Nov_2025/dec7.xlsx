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ll_batches\DSS_Nov_2025\"/>
    </mc:Choice>
  </mc:AlternateContent>
  <xr:revisionPtr revIDLastSave="0" documentId="13_ncr:1_{74C1A358-6FCA-468A-85AC-C694054CF9E9}" xr6:coauthVersionLast="47" xr6:coauthVersionMax="47" xr10:uidLastSave="{00000000-0000-0000-0000-000000000000}"/>
  <bookViews>
    <workbookView xWindow="-108" yWindow="-108" windowWidth="23256" windowHeight="12576" firstSheet="1" activeTab="5" xr2:uid="{8A3C6802-D8CE-4AE0-82A7-07E217CD7D60}"/>
  </bookViews>
  <sheets>
    <sheet name="flashfill and concat" sheetId="2" r:id="rId1"/>
    <sheet name="logical operators and text fn" sheetId="3" r:id="rId2"/>
    <sheet name="Data Validation" sheetId="4" r:id="rId3"/>
    <sheet name="Population" sheetId="5" r:id="rId4"/>
    <sheet name="Per Capita Income" sheetId="6" r:id="rId5"/>
    <sheet name="HLookup &amp; Transpose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7" l="1"/>
  <c r="F12" i="7"/>
  <c r="C13" i="7" s="1"/>
  <c r="K5" i="6"/>
  <c r="K8" i="6"/>
  <c r="K7" i="6"/>
  <c r="K6" i="6"/>
  <c r="C29" i="6" l="1"/>
  <c r="F2" i="6"/>
  <c r="G3" i="6"/>
  <c r="F3" i="6" s="1"/>
  <c r="G4" i="6"/>
  <c r="F4" i="6" s="1"/>
  <c r="G5" i="6"/>
  <c r="F5" i="6" s="1"/>
  <c r="G6" i="6"/>
  <c r="F6" i="6" s="1"/>
  <c r="G7" i="6"/>
  <c r="F7" i="6" s="1"/>
  <c r="G2" i="6"/>
  <c r="G26" i="6"/>
  <c r="G25" i="6"/>
  <c r="G20" i="6"/>
  <c r="G16" i="6"/>
  <c r="G13" i="6"/>
  <c r="E12" i="6"/>
  <c r="B18" i="6"/>
  <c r="C16" i="6"/>
  <c r="A15" i="6"/>
  <c r="C13" i="6"/>
  <c r="A12" i="6"/>
  <c r="E3" i="6"/>
  <c r="E4" i="6"/>
  <c r="E5" i="6"/>
  <c r="E6" i="6"/>
  <c r="E7" i="6"/>
  <c r="E2" i="6"/>
  <c r="D3" i="6"/>
  <c r="D4" i="6"/>
  <c r="D5" i="6"/>
  <c r="D6" i="6"/>
  <c r="D7" i="6"/>
  <c r="D2" i="6"/>
  <c r="C4" i="6"/>
  <c r="C5" i="6"/>
  <c r="C6" i="6"/>
  <c r="C7" i="6"/>
  <c r="C28" i="6" s="1"/>
  <c r="C3" i="6"/>
  <c r="C2" i="6"/>
  <c r="C27" i="6" l="1"/>
  <c r="D13" i="4"/>
  <c r="D14" i="4"/>
  <c r="S23" i="3" l="1"/>
  <c r="S22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6" i="3"/>
  <c r="H13" i="3"/>
  <c r="H14" i="3"/>
  <c r="C27" i="3"/>
  <c r="C30" i="3"/>
  <c r="C24" i="3"/>
  <c r="E27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6" i="3"/>
  <c r="E24" i="3"/>
  <c r="E7" i="3"/>
  <c r="G7" i="3" s="1"/>
  <c r="E8" i="3"/>
  <c r="G8" i="3" s="1"/>
  <c r="E9" i="3"/>
  <c r="F9" i="3" s="1"/>
  <c r="E10" i="3"/>
  <c r="G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G16" i="3" s="1"/>
  <c r="E17" i="3"/>
  <c r="F17" i="3" s="1"/>
  <c r="E18" i="3"/>
  <c r="G18" i="3" s="1"/>
  <c r="E19" i="3"/>
  <c r="F19" i="3" s="1"/>
  <c r="E20" i="3"/>
  <c r="F20" i="3" s="1"/>
  <c r="E6" i="3"/>
  <c r="F6" i="3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6" i="3"/>
  <c r="J4" i="2"/>
  <c r="J5" i="2"/>
  <c r="J6" i="2"/>
  <c r="J7" i="2"/>
  <c r="J8" i="2"/>
  <c r="J9" i="2"/>
  <c r="J10" i="2"/>
  <c r="J3" i="2"/>
  <c r="D3" i="2"/>
  <c r="D4" i="2"/>
  <c r="D5" i="2"/>
  <c r="D6" i="2"/>
  <c r="D7" i="2"/>
  <c r="D8" i="2"/>
  <c r="D9" i="2"/>
  <c r="D10" i="2"/>
  <c r="D2" i="2"/>
  <c r="H20" i="3" l="1"/>
  <c r="H12" i="3"/>
  <c r="H19" i="3"/>
  <c r="H11" i="3"/>
  <c r="H18" i="3"/>
  <c r="H10" i="3"/>
  <c r="H17" i="3"/>
  <c r="H9" i="3"/>
  <c r="H16" i="3"/>
  <c r="H8" i="3"/>
  <c r="H6" i="3"/>
  <c r="H15" i="3"/>
  <c r="H7" i="3"/>
  <c r="F7" i="3"/>
  <c r="F16" i="3"/>
  <c r="G13" i="3"/>
  <c r="G19" i="3"/>
  <c r="G17" i="3"/>
  <c r="F18" i="3"/>
  <c r="G15" i="3"/>
  <c r="G12" i="3"/>
  <c r="F10" i="3"/>
  <c r="G11" i="3"/>
  <c r="G6" i="3"/>
  <c r="G9" i="3"/>
  <c r="G20" i="3"/>
  <c r="G14" i="3"/>
  <c r="F8" i="3"/>
</calcChain>
</file>

<file path=xl/sharedStrings.xml><?xml version="1.0" encoding="utf-8"?>
<sst xmlns="http://schemas.openxmlformats.org/spreadsheetml/2006/main" count="206" uniqueCount="124">
  <si>
    <t>First Name</t>
  </si>
  <si>
    <t>Last Name</t>
  </si>
  <si>
    <t>Initial</t>
  </si>
  <si>
    <t>Age</t>
  </si>
  <si>
    <t>Adressing</t>
  </si>
  <si>
    <t>Python</t>
  </si>
  <si>
    <t>Language</t>
  </si>
  <si>
    <t>Ayush</t>
  </si>
  <si>
    <t>Sheth</t>
  </si>
  <si>
    <t>Mr</t>
  </si>
  <si>
    <t>Alakh</t>
  </si>
  <si>
    <t>Pandya</t>
  </si>
  <si>
    <t>Madhusudan</t>
  </si>
  <si>
    <t>Soneji</t>
  </si>
  <si>
    <t>Heli</t>
  </si>
  <si>
    <t>Raval</t>
  </si>
  <si>
    <t>Ms</t>
  </si>
  <si>
    <t>Sanjay</t>
  </si>
  <si>
    <t>Shah</t>
  </si>
  <si>
    <t>Dr</t>
  </si>
  <si>
    <t>Nupur</t>
  </si>
  <si>
    <t>Patel</t>
  </si>
  <si>
    <t>Prof</t>
  </si>
  <si>
    <t>Khyati</t>
  </si>
  <si>
    <t>Jani</t>
  </si>
  <si>
    <t>Ajay</t>
  </si>
  <si>
    <t>Khanna</t>
  </si>
  <si>
    <t>Full Name - Flashfill</t>
  </si>
  <si>
    <t>Python Language</t>
  </si>
  <si>
    <t>Ayush Sheth</t>
  </si>
  <si>
    <t>Alakh Pandya</t>
  </si>
  <si>
    <t>Madhusudan Soneji</t>
  </si>
  <si>
    <t>Heli Raval</t>
  </si>
  <si>
    <t>Sanjay Shah</t>
  </si>
  <si>
    <t>Nupur Patel</t>
  </si>
  <si>
    <t>Khyati Jani</t>
  </si>
  <si>
    <t>Ajay Khanna</t>
  </si>
  <si>
    <t>Full Name - Concat</t>
  </si>
  <si>
    <t>Which rows have April as their month and 'Numbers' at least 10?</t>
  </si>
  <si>
    <t>Which rows have April as their month or 'Numbers' at least 10?</t>
  </si>
  <si>
    <t>Extracting in different ways using TEXT</t>
  </si>
  <si>
    <t>Date</t>
  </si>
  <si>
    <t>Numbers</t>
  </si>
  <si>
    <t>Year</t>
  </si>
  <si>
    <t>Month</t>
  </si>
  <si>
    <t>OR</t>
  </si>
  <si>
    <t>AND</t>
  </si>
  <si>
    <t>Year (Full)</t>
  </si>
  <si>
    <t>Year (Short)</t>
  </si>
  <si>
    <t>Month (short)</t>
  </si>
  <si>
    <t>Zero Padded Month</t>
  </si>
  <si>
    <t>Month Name (short)</t>
  </si>
  <si>
    <t>Month Name (full)</t>
  </si>
  <si>
    <t>Zero Padded Date</t>
  </si>
  <si>
    <t>Day (Short)</t>
  </si>
  <si>
    <t>Day (Full)</t>
  </si>
  <si>
    <t>Numbers in 2 digits</t>
  </si>
  <si>
    <t>Numbers in 3 digits</t>
  </si>
  <si>
    <t>Input</t>
  </si>
  <si>
    <t>Between 30 &amp; 40</t>
  </si>
  <si>
    <t>Either Dr or Prof</t>
  </si>
  <si>
    <t>Date Function:</t>
  </si>
  <si>
    <t>Now Function:</t>
  </si>
  <si>
    <t>Which rows don't have April month?</t>
  </si>
  <si>
    <t>NOT</t>
  </si>
  <si>
    <t>Not Between 30 &amp; 40</t>
  </si>
  <si>
    <t>NAND</t>
  </si>
  <si>
    <t>Qty:</t>
  </si>
  <si>
    <t>Amount:</t>
  </si>
  <si>
    <t>Day:</t>
  </si>
  <si>
    <t>Date:</t>
  </si>
  <si>
    <t>Choose:</t>
  </si>
  <si>
    <t>Mon</t>
  </si>
  <si>
    <t>STD Code</t>
  </si>
  <si>
    <t>City</t>
  </si>
  <si>
    <t>Population</t>
  </si>
  <si>
    <t>Avg. Literacy</t>
  </si>
  <si>
    <t>Male Literacy</t>
  </si>
  <si>
    <t>Female Literacy</t>
  </si>
  <si>
    <t>Ahmedabad</t>
  </si>
  <si>
    <t>Surat</t>
  </si>
  <si>
    <t>Patan</t>
  </si>
  <si>
    <t>Rajkot</t>
  </si>
  <si>
    <t>Disa</t>
  </si>
  <si>
    <t>Palanpur</t>
  </si>
  <si>
    <t>Income</t>
  </si>
  <si>
    <t>Match Function</t>
  </si>
  <si>
    <t>Index Function</t>
  </si>
  <si>
    <t>Value</t>
  </si>
  <si>
    <t>Enter City Name</t>
  </si>
  <si>
    <t>Parameter</t>
  </si>
  <si>
    <t>Direct Value</t>
  </si>
  <si>
    <t>Error Handling</t>
  </si>
  <si>
    <t>Numerator</t>
  </si>
  <si>
    <t>Denominator</t>
  </si>
  <si>
    <t>Division</t>
  </si>
  <si>
    <t>Division (Without Error Handling)</t>
  </si>
  <si>
    <t>Row Number</t>
  </si>
  <si>
    <t>Col Number</t>
  </si>
  <si>
    <t>Match does not support 2D array</t>
  </si>
  <si>
    <t>Column No</t>
  </si>
  <si>
    <t>Row No.</t>
  </si>
  <si>
    <t>Col No.</t>
  </si>
  <si>
    <t>Answer:</t>
  </si>
  <si>
    <t>Col no of Parameter</t>
  </si>
  <si>
    <t>Row no of City</t>
  </si>
  <si>
    <t>VLOOKUP Exercise</t>
  </si>
  <si>
    <t>Avg.Literacy</t>
  </si>
  <si>
    <t>Using VLOOKUP &amp; Match</t>
  </si>
  <si>
    <t>Name</t>
  </si>
  <si>
    <t>SR Tendulkar</t>
  </si>
  <si>
    <t>V Sehwag</t>
  </si>
  <si>
    <t>V Kohli</t>
  </si>
  <si>
    <t>Matches</t>
  </si>
  <si>
    <t>100's</t>
  </si>
  <si>
    <t>50's</t>
  </si>
  <si>
    <t>6's</t>
  </si>
  <si>
    <t>4s</t>
  </si>
  <si>
    <t>Batsman</t>
  </si>
  <si>
    <t>Row No:</t>
  </si>
  <si>
    <t>4's</t>
  </si>
  <si>
    <t>Transpose is not possible with Table!</t>
  </si>
  <si>
    <t>Transpose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</si>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</sst>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  <xf numFmtId="22" fontId="0" fillId="0" borderId="0" xfId="0" applyNumberFormat="1"/>
    <xf numFmtId="0" fontId="0" fillId="3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2" borderId="4" xfId="0" applyFill="1" applyBorder="1"/>
    <xf numFmtId="0" fontId="0" fillId="4" borderId="0" xfId="0" applyFill="1"/>
    <xf numFmtId="0" fontId="0" fillId="0" borderId="5" xfId="0" applyBorder="1"/>
    <xf numFmtId="14" fontId="0" fillId="0" borderId="5" xfId="0" applyNumberFormat="1" applyBorder="1"/>
    <xf numFmtId="0" fontId="0" fillId="3" borderId="0" xfId="0" applyFill="1"/>
    <xf numFmtId="0" fontId="0" fillId="0" borderId="6" xfId="0" applyBorder="1"/>
    <xf numFmtId="0" fontId="2" fillId="0" borderId="0" xfId="0" applyFont="1"/>
    <xf numFmtId="0" fontId="0" fillId="0" borderId="7" xfId="0" applyBorder="1"/>
    <xf numFmtId="0" fontId="0" fillId="5" borderId="0" xfId="0" applyFill="1"/>
    <xf numFmtId="0" fontId="0" fillId="4" borderId="5" xfId="0" applyFill="1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6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4" fillId="7" borderId="0" xfId="0" applyFont="1" applyFill="1"/>
    <xf numFmtId="0" fontId="0" fillId="5" borderId="7" xfId="0" applyFill="1" applyBorder="1"/>
    <xf numFmtId="0" fontId="0" fillId="8" borderId="0" xfId="0" applyFill="1"/>
    <xf numFmtId="0" fontId="3" fillId="9" borderId="0" xfId="0" applyFont="1" applyFill="1"/>
    <xf numFmtId="0" fontId="5" fillId="0" borderId="0" xfId="0" applyFont="1"/>
    <xf numFmtId="0" fontId="0" fillId="2" borderId="5" xfId="0" applyFill="1" applyBorder="1"/>
    <xf numFmtId="0" fontId="1" fillId="0" borderId="6" xfId="0" applyFont="1" applyBorder="1" applyAlignment="1">
      <alignment horizontal="center"/>
    </xf>
    <xf numFmtId="0" fontId="4" fillId="9" borderId="5" xfId="0" applyFont="1" applyFill="1" applyBorder="1"/>
  </cellXfs>
  <cellStyles count="1">
    <cellStyle name="Normal" xfId="0" builtinId="0"/>
  </cellStyles>
  <dxfs count="4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Question Hlookupworked-style" pivot="0" count="3" xr9:uid="{AAFCF076-BDE8-4547-933E-9259DEFD6D15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39675D-F6AF-4096-AA35-6A1DB481B639}" name="Table_57" displayName="Table_57" ref="B3:E8" headerRowDxfId="0">
  <tableColumns count="4">
    <tableColumn id="1" xr3:uid="{1011BA50-B04A-4A9A-BC67-BB1E1F425C13}" name="Name"/>
    <tableColumn id="2" xr3:uid="{21739E69-C029-438E-A3D4-E6028E2677B9}" name="SR Tendulkar"/>
    <tableColumn id="3" xr3:uid="{0F06A9BD-AF71-41CE-A2DB-2F01A2CDF3BB}" name="V Sehwag"/>
    <tableColumn id="4" xr3:uid="{93471DF8-569B-4E80-944D-45D80C26934C}" name="V Kohli"/>
  </tableColumns>
  <tableStyleInfo name="Question Hlookupworke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D0F362-63BC-4D1D-9197-A457E6C21B84}" name="Table2" displayName="Table2" ref="H9:M12" totalsRowShown="0">
  <autoFilter ref="H9:M12" xr:uid="{EAD0F362-63BC-4D1D-9197-A457E6C21B84}"/>
  <tableColumns count="6">
    <tableColumn id="1" xr3:uid="{18CD5052-227F-41A1-8473-4B358E6DF727}" name="Name"/>
    <tableColumn id="2" xr3:uid="{B4160646-0AC9-4D18-9C3B-07CFAB271EA3}" name="Matches"/>
    <tableColumn id="3" xr3:uid="{A5901E7C-A3E6-453C-96E9-02308E440A1F}" name="100's"/>
    <tableColumn id="4" xr3:uid="{1C802230-CC90-439F-BB7C-D58993ADE7C1}" name="50's"/>
    <tableColumn id="5" xr3:uid="{FDE1BFB8-B009-4D9B-9238-B635DDECCF21}" name="6's"/>
    <tableColumn id="6" xr3:uid="{FCA2ED6C-3344-4FB8-B00D-99C093557CDA}" name="4'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9465-3FD0-407C-82DE-5E93EB57CCF4}">
  <dimension ref="A1:J10"/>
  <sheetViews>
    <sheetView topLeftCell="B1" zoomScale="145" zoomScaleNormal="145" workbookViewId="0">
      <selection activeCell="D13" sqref="D13"/>
    </sheetView>
  </sheetViews>
  <sheetFormatPr defaultRowHeight="14.4" x14ac:dyDescent="0.3"/>
  <cols>
    <col min="1" max="1" width="11.88671875" bestFit="1" customWidth="1"/>
    <col min="2" max="2" width="9.6640625" bestFit="1" customWidth="1"/>
    <col min="3" max="3" width="17.44140625" bestFit="1" customWidth="1"/>
    <col min="4" max="4" width="17.44140625" customWidth="1"/>
    <col min="5" max="5" width="17.88671875" customWidth="1"/>
    <col min="6" max="6" width="5.5546875" bestFit="1" customWidth="1"/>
    <col min="7" max="7" width="4.109375" bestFit="1" customWidth="1"/>
    <col min="8" max="8" width="11.88671875" bestFit="1" customWidth="1"/>
    <col min="9" max="9" width="9.6640625" bestFit="1" customWidth="1"/>
    <col min="10" max="10" width="14.77734375" bestFit="1" customWidth="1"/>
  </cols>
  <sheetData>
    <row r="1" spans="1:10" x14ac:dyDescent="0.3">
      <c r="A1" t="s">
        <v>0</v>
      </c>
      <c r="B1" t="s">
        <v>1</v>
      </c>
      <c r="C1" t="s">
        <v>27</v>
      </c>
      <c r="D1" t="s">
        <v>37</v>
      </c>
      <c r="F1" t="s">
        <v>2</v>
      </c>
      <c r="G1" t="s">
        <v>3</v>
      </c>
      <c r="H1" t="s">
        <v>0</v>
      </c>
      <c r="I1" t="s">
        <v>1</v>
      </c>
      <c r="J1" t="s">
        <v>4</v>
      </c>
    </row>
    <row r="2" spans="1:10" x14ac:dyDescent="0.3">
      <c r="A2" t="s">
        <v>5</v>
      </c>
      <c r="B2" t="s">
        <v>6</v>
      </c>
      <c r="C2" t="s">
        <v>28</v>
      </c>
      <c r="D2" t="str">
        <f>_xlfn.CONCAT(A2, " ", B2)</f>
        <v>Python Language</v>
      </c>
    </row>
    <row r="3" spans="1:10" x14ac:dyDescent="0.3">
      <c r="A3" t="s">
        <v>7</v>
      </c>
      <c r="B3" t="s">
        <v>8</v>
      </c>
      <c r="C3" t="s">
        <v>29</v>
      </c>
      <c r="D3" t="str">
        <f>_xlfn.CONCAT(A3, " ", B3)</f>
        <v>Ayush Sheth</v>
      </c>
      <c r="F3" t="s">
        <v>9</v>
      </c>
      <c r="G3">
        <v>24</v>
      </c>
      <c r="H3" t="s">
        <v>7</v>
      </c>
      <c r="I3" t="s">
        <v>8</v>
      </c>
      <c r="J3" t="str">
        <f>IF(G3&gt;=18, _xlfn.CONCAT("Hello ", F3, " ", I3, ","), _xlfn.CONCAT("Hi ", H3, "!"))</f>
        <v>Hello Mr Sheth,</v>
      </c>
    </row>
    <row r="4" spans="1:10" x14ac:dyDescent="0.3">
      <c r="A4" t="s">
        <v>10</v>
      </c>
      <c r="B4" t="s">
        <v>11</v>
      </c>
      <c r="C4" t="s">
        <v>30</v>
      </c>
      <c r="D4" t="str">
        <f t="shared" ref="D4:D10" si="0">_xlfn.CONCAT(A4, " ", B4)</f>
        <v>Alakh Pandya</v>
      </c>
      <c r="F4" t="s">
        <v>9</v>
      </c>
      <c r="G4">
        <v>43</v>
      </c>
      <c r="H4" t="s">
        <v>10</v>
      </c>
      <c r="I4" t="s">
        <v>11</v>
      </c>
      <c r="J4" t="str">
        <f t="shared" ref="J4:J10" si="1">IF(G4&gt;=18, _xlfn.CONCAT("Hello ", F4, " ", I4, ","), _xlfn.CONCAT("Hi ", H4, "!"))</f>
        <v>Hello Mr Pandya,</v>
      </c>
    </row>
    <row r="5" spans="1:10" x14ac:dyDescent="0.3">
      <c r="A5" t="s">
        <v>12</v>
      </c>
      <c r="B5" t="s">
        <v>13</v>
      </c>
      <c r="C5" t="s">
        <v>31</v>
      </c>
      <c r="D5" t="str">
        <f t="shared" si="0"/>
        <v>Madhusudan Soneji</v>
      </c>
      <c r="F5" t="s">
        <v>9</v>
      </c>
      <c r="G5">
        <v>50</v>
      </c>
      <c r="H5" t="s">
        <v>12</v>
      </c>
      <c r="I5" t="s">
        <v>13</v>
      </c>
      <c r="J5" t="str">
        <f t="shared" si="1"/>
        <v>Hello Mr Soneji,</v>
      </c>
    </row>
    <row r="6" spans="1:10" x14ac:dyDescent="0.3">
      <c r="A6" t="s">
        <v>14</v>
      </c>
      <c r="B6" t="s">
        <v>15</v>
      </c>
      <c r="C6" t="s">
        <v>32</v>
      </c>
      <c r="D6" t="str">
        <f t="shared" si="0"/>
        <v>Heli Raval</v>
      </c>
      <c r="F6" t="s">
        <v>16</v>
      </c>
      <c r="G6">
        <v>14</v>
      </c>
      <c r="H6" t="s">
        <v>14</v>
      </c>
      <c r="I6" t="s">
        <v>15</v>
      </c>
      <c r="J6" t="str">
        <f t="shared" si="1"/>
        <v>Hi Heli!</v>
      </c>
    </row>
    <row r="7" spans="1:10" x14ac:dyDescent="0.3">
      <c r="A7" t="s">
        <v>17</v>
      </c>
      <c r="B7" t="s">
        <v>18</v>
      </c>
      <c r="C7" t="s">
        <v>33</v>
      </c>
      <c r="D7" t="str">
        <f t="shared" si="0"/>
        <v>Sanjay Shah</v>
      </c>
      <c r="F7" t="s">
        <v>19</v>
      </c>
      <c r="G7">
        <v>27</v>
      </c>
      <c r="H7" t="s">
        <v>17</v>
      </c>
      <c r="I7" t="s">
        <v>18</v>
      </c>
      <c r="J7" t="str">
        <f t="shared" si="1"/>
        <v>Hello Dr Shah,</v>
      </c>
    </row>
    <row r="8" spans="1:10" x14ac:dyDescent="0.3">
      <c r="A8" t="s">
        <v>20</v>
      </c>
      <c r="B8" t="s">
        <v>21</v>
      </c>
      <c r="C8" t="s">
        <v>34</v>
      </c>
      <c r="D8" t="str">
        <f t="shared" si="0"/>
        <v>Nupur Patel</v>
      </c>
      <c r="F8" t="s">
        <v>22</v>
      </c>
      <c r="G8">
        <v>30</v>
      </c>
      <c r="H8" t="s">
        <v>20</v>
      </c>
      <c r="I8" t="s">
        <v>21</v>
      </c>
      <c r="J8" t="str">
        <f t="shared" si="1"/>
        <v>Hello Prof Patel,</v>
      </c>
    </row>
    <row r="9" spans="1:10" x14ac:dyDescent="0.3">
      <c r="A9" t="s">
        <v>23</v>
      </c>
      <c r="B9" t="s">
        <v>24</v>
      </c>
      <c r="C9" t="s">
        <v>35</v>
      </c>
      <c r="D9" t="str">
        <f t="shared" si="0"/>
        <v>Khyati Jani</v>
      </c>
      <c r="F9" t="s">
        <v>16</v>
      </c>
      <c r="G9">
        <v>15</v>
      </c>
      <c r="H9" t="s">
        <v>23</v>
      </c>
      <c r="I9" t="s">
        <v>24</v>
      </c>
      <c r="J9" t="str">
        <f t="shared" si="1"/>
        <v>Hi Khyati!</v>
      </c>
    </row>
    <row r="10" spans="1:10" x14ac:dyDescent="0.3">
      <c r="A10" t="s">
        <v>25</v>
      </c>
      <c r="B10" t="s">
        <v>26</v>
      </c>
      <c r="C10" t="s">
        <v>36</v>
      </c>
      <c r="D10" t="str">
        <f t="shared" si="0"/>
        <v>Ajay Khanna</v>
      </c>
      <c r="F10" t="s">
        <v>9</v>
      </c>
      <c r="G10">
        <v>17</v>
      </c>
      <c r="H10" t="s">
        <v>25</v>
      </c>
      <c r="I10" t="s">
        <v>26</v>
      </c>
      <c r="J10" t="str">
        <f t="shared" si="1"/>
        <v>Hi Ajay!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4766-D952-40BB-AA51-D48967BD64DE}">
  <dimension ref="A1:T30"/>
  <sheetViews>
    <sheetView topLeftCell="K1" zoomScale="145" zoomScaleNormal="145" workbookViewId="0">
      <selection activeCell="A5" sqref="A5"/>
    </sheetView>
  </sheetViews>
  <sheetFormatPr defaultRowHeight="14.4" x14ac:dyDescent="0.3"/>
  <cols>
    <col min="1" max="1" width="15.6640625" bestFit="1" customWidth="1"/>
    <col min="2" max="2" width="19.21875" bestFit="1" customWidth="1"/>
    <col min="3" max="3" width="8.6640625" customWidth="1"/>
    <col min="4" max="4" width="6" bestFit="1" customWidth="1"/>
    <col min="5" max="5" width="16" bestFit="1" customWidth="1"/>
    <col min="6" max="8" width="8" customWidth="1"/>
    <col min="9" max="9" width="10.109375" customWidth="1"/>
    <col min="10" max="10" width="10.5546875" bestFit="1" customWidth="1"/>
    <col min="11" max="11" width="12.21875" bestFit="1" customWidth="1"/>
    <col min="12" max="12" width="17.44140625" bestFit="1" customWidth="1"/>
    <col min="13" max="13" width="17.77734375" bestFit="1" customWidth="1"/>
    <col min="14" max="14" width="16" bestFit="1" customWidth="1"/>
    <col min="15" max="15" width="4.88671875" bestFit="1" customWidth="1"/>
    <col min="16" max="16" width="15.6640625" bestFit="1" customWidth="1"/>
    <col min="17" max="17" width="10" bestFit="1" customWidth="1"/>
    <col min="18" max="18" width="10.44140625" bestFit="1" customWidth="1"/>
    <col min="19" max="20" width="17.109375" bestFit="1" customWidth="1"/>
  </cols>
  <sheetData>
    <row r="1" spans="1:20" x14ac:dyDescent="0.3">
      <c r="A1" t="s">
        <v>38</v>
      </c>
      <c r="S1">
        <v>12</v>
      </c>
    </row>
    <row r="2" spans="1:20" x14ac:dyDescent="0.3">
      <c r="A2" t="s">
        <v>39</v>
      </c>
      <c r="I2" s="18" t="s">
        <v>40</v>
      </c>
      <c r="J2" s="18"/>
      <c r="K2" s="18"/>
      <c r="L2" s="18"/>
      <c r="M2" s="18"/>
      <c r="N2" s="18"/>
      <c r="O2" s="18"/>
      <c r="P2" s="18"/>
      <c r="Q2" s="18"/>
      <c r="R2" s="18"/>
    </row>
    <row r="3" spans="1:20" x14ac:dyDescent="0.3">
      <c r="A3" t="s">
        <v>63</v>
      </c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x14ac:dyDescent="0.3">
      <c r="I4" s="1"/>
      <c r="J4" s="1"/>
      <c r="K4" s="1"/>
      <c r="L4" s="1"/>
      <c r="M4" s="1"/>
      <c r="N4" s="1"/>
      <c r="O4" s="1"/>
      <c r="P4" s="1"/>
      <c r="Q4" s="1"/>
      <c r="R4" s="1"/>
    </row>
    <row r="5" spans="1:20" x14ac:dyDescent="0.3">
      <c r="A5" t="s">
        <v>41</v>
      </c>
      <c r="B5" t="s">
        <v>42</v>
      </c>
      <c r="C5" t="s">
        <v>43</v>
      </c>
      <c r="D5" t="s">
        <v>41</v>
      </c>
      <c r="E5" t="s">
        <v>44</v>
      </c>
      <c r="F5" t="s">
        <v>46</v>
      </c>
      <c r="G5" t="s">
        <v>45</v>
      </c>
      <c r="H5" t="s">
        <v>64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41</v>
      </c>
      <c r="P5" t="s">
        <v>53</v>
      </c>
      <c r="Q5" t="s">
        <v>54</v>
      </c>
      <c r="R5" t="s">
        <v>55</v>
      </c>
      <c r="S5" t="s">
        <v>56</v>
      </c>
      <c r="T5" t="s">
        <v>57</v>
      </c>
    </row>
    <row r="6" spans="1:20" x14ac:dyDescent="0.3">
      <c r="A6" s="2">
        <v>38036</v>
      </c>
      <c r="B6">
        <v>33</v>
      </c>
      <c r="C6">
        <f>YEAR(A6)</f>
        <v>2004</v>
      </c>
      <c r="D6">
        <f>DAY(A6)</f>
        <v>19</v>
      </c>
      <c r="E6">
        <f>MONTH(A6)</f>
        <v>2</v>
      </c>
      <c r="F6" t="b">
        <f>AND(E6=4, B6&gt;=10)</f>
        <v>0</v>
      </c>
      <c r="G6" t="b">
        <f>OR(E6=4, B6&gt;=10)</f>
        <v>1</v>
      </c>
      <c r="H6" t="b">
        <f>NOT(E6=4)</f>
        <v>1</v>
      </c>
      <c r="I6" t="str">
        <f>TEXT(A6, "yyyy")</f>
        <v>2004</v>
      </c>
      <c r="J6" t="str">
        <f>TEXT(A6, "yy")</f>
        <v>04</v>
      </c>
      <c r="K6" t="str">
        <f>TEXT(A6, "m")</f>
        <v>2</v>
      </c>
      <c r="L6" t="str">
        <f>TEXT(A6, "mm")</f>
        <v>02</v>
      </c>
      <c r="M6" t="str">
        <f>TEXT(A6, "mmm")</f>
        <v>Feb</v>
      </c>
      <c r="N6" t="str">
        <f>TEXT(A6, "mmmm")</f>
        <v>February</v>
      </c>
      <c r="O6" t="str">
        <f>TEXT(A6, "d")</f>
        <v>19</v>
      </c>
      <c r="P6" t="str">
        <f>TEXT(A6, "dd")</f>
        <v>19</v>
      </c>
      <c r="Q6" t="str">
        <f>TEXT(A6, "ddd")</f>
        <v>Thu</v>
      </c>
      <c r="R6" t="str">
        <f>TEXT(A6, "dddd")</f>
        <v>Thursday</v>
      </c>
      <c r="S6" t="str">
        <f>TEXT(B6, "00")</f>
        <v>33</v>
      </c>
      <c r="T6" t="str">
        <f>TEXT(B6, "000")</f>
        <v>033</v>
      </c>
    </row>
    <row r="7" spans="1:20" x14ac:dyDescent="0.3">
      <c r="A7" s="2">
        <v>39091</v>
      </c>
      <c r="B7">
        <v>9</v>
      </c>
      <c r="C7">
        <f t="shared" ref="C7:C20" si="0">YEAR(A7)</f>
        <v>2007</v>
      </c>
      <c r="D7">
        <f t="shared" ref="D7:D20" si="1">DAY(A7)</f>
        <v>9</v>
      </c>
      <c r="E7">
        <f t="shared" ref="E7:E20" si="2">MONTH(A7)</f>
        <v>1</v>
      </c>
      <c r="F7" t="b">
        <f>AND(E7=4, B7&gt;=10)</f>
        <v>0</v>
      </c>
      <c r="G7" t="b">
        <f t="shared" ref="G7:G20" si="3">OR(E7=4, B7&gt;=10)</f>
        <v>0</v>
      </c>
      <c r="H7" t="b">
        <f t="shared" ref="H7:H20" si="4">NOT(E7=4)</f>
        <v>1</v>
      </c>
      <c r="I7" t="str">
        <f t="shared" ref="I7:I20" si="5">TEXT(A7, "yyyy")</f>
        <v>2007</v>
      </c>
      <c r="J7" t="str">
        <f t="shared" ref="J7:J20" si="6">TEXT(A7, "yy")</f>
        <v>07</v>
      </c>
      <c r="K7" t="str">
        <f t="shared" ref="K7:K20" si="7">TEXT(A7, "m")</f>
        <v>1</v>
      </c>
      <c r="L7" t="str">
        <f t="shared" ref="L7:L20" si="8">TEXT(A7, "mm")</f>
        <v>01</v>
      </c>
      <c r="M7" t="str">
        <f t="shared" ref="M7:M20" si="9">TEXT(A7, "mmm")</f>
        <v>Jan</v>
      </c>
      <c r="N7" t="str">
        <f t="shared" ref="N7:N20" si="10">TEXT(A7, "mmmm")</f>
        <v>January</v>
      </c>
      <c r="O7" t="str">
        <f t="shared" ref="O7:O20" si="11">TEXT(A7, "d")</f>
        <v>9</v>
      </c>
      <c r="P7" t="str">
        <f t="shared" ref="P7:P20" si="12">TEXT(A7, "dd")</f>
        <v>09</v>
      </c>
      <c r="Q7" t="str">
        <f t="shared" ref="Q7:Q20" si="13">TEXT(A7, "ddd")</f>
        <v>Tue</v>
      </c>
      <c r="R7" t="str">
        <f t="shared" ref="R7:R20" si="14">TEXT(A7, "dddd")</f>
        <v>Tuesday</v>
      </c>
      <c r="S7" t="str">
        <f t="shared" ref="S7:S20" si="15">TEXT(B7, "00")</f>
        <v>09</v>
      </c>
      <c r="T7" t="str">
        <f t="shared" ref="T7:T20" si="16">TEXT(B7, "000")</f>
        <v>009</v>
      </c>
    </row>
    <row r="8" spans="1:20" x14ac:dyDescent="0.3">
      <c r="A8" s="2">
        <v>39558</v>
      </c>
      <c r="B8">
        <v>5</v>
      </c>
      <c r="C8">
        <f t="shared" si="0"/>
        <v>2008</v>
      </c>
      <c r="D8">
        <f t="shared" si="1"/>
        <v>20</v>
      </c>
      <c r="E8">
        <f t="shared" si="2"/>
        <v>4</v>
      </c>
      <c r="F8" t="b">
        <f>AND(E8=4, B8&gt;=10)</f>
        <v>0</v>
      </c>
      <c r="G8" t="b">
        <f t="shared" si="3"/>
        <v>1</v>
      </c>
      <c r="H8" t="b">
        <f t="shared" si="4"/>
        <v>0</v>
      </c>
      <c r="I8" t="str">
        <f t="shared" si="5"/>
        <v>2008</v>
      </c>
      <c r="J8" t="str">
        <f t="shared" si="6"/>
        <v>08</v>
      </c>
      <c r="K8" t="str">
        <f t="shared" si="7"/>
        <v>4</v>
      </c>
      <c r="L8" t="str">
        <f t="shared" si="8"/>
        <v>04</v>
      </c>
      <c r="M8" t="str">
        <f t="shared" si="9"/>
        <v>Apr</v>
      </c>
      <c r="N8" t="str">
        <f t="shared" si="10"/>
        <v>April</v>
      </c>
      <c r="O8" t="str">
        <f t="shared" si="11"/>
        <v>20</v>
      </c>
      <c r="P8" t="str">
        <f t="shared" si="12"/>
        <v>20</v>
      </c>
      <c r="Q8" t="str">
        <f t="shared" si="13"/>
        <v>Sun</v>
      </c>
      <c r="R8" t="str">
        <f t="shared" si="14"/>
        <v>Sunday</v>
      </c>
      <c r="S8" t="str">
        <f t="shared" si="15"/>
        <v>05</v>
      </c>
      <c r="T8" t="str">
        <f t="shared" si="16"/>
        <v>005</v>
      </c>
    </row>
    <row r="9" spans="1:20" x14ac:dyDescent="0.3">
      <c r="A9" s="2">
        <v>40288</v>
      </c>
      <c r="B9">
        <v>5</v>
      </c>
      <c r="C9">
        <f t="shared" si="0"/>
        <v>2010</v>
      </c>
      <c r="D9">
        <f t="shared" si="1"/>
        <v>20</v>
      </c>
      <c r="E9">
        <f t="shared" si="2"/>
        <v>4</v>
      </c>
      <c r="F9" t="b">
        <f t="shared" ref="F9:F20" si="17">AND(E9=4, B9&gt;=10)</f>
        <v>0</v>
      </c>
      <c r="G9" t="b">
        <f t="shared" si="3"/>
        <v>1</v>
      </c>
      <c r="H9" t="b">
        <f t="shared" si="4"/>
        <v>0</v>
      </c>
      <c r="I9" t="str">
        <f t="shared" si="5"/>
        <v>2010</v>
      </c>
      <c r="J9" t="str">
        <f t="shared" si="6"/>
        <v>10</v>
      </c>
      <c r="K9" t="str">
        <f t="shared" si="7"/>
        <v>4</v>
      </c>
      <c r="L9" t="str">
        <f t="shared" si="8"/>
        <v>04</v>
      </c>
      <c r="M9" t="str">
        <f t="shared" si="9"/>
        <v>Apr</v>
      </c>
      <c r="N9" t="str">
        <f t="shared" si="10"/>
        <v>April</v>
      </c>
      <c r="O9" t="str">
        <f t="shared" si="11"/>
        <v>20</v>
      </c>
      <c r="P9" t="str">
        <f t="shared" si="12"/>
        <v>20</v>
      </c>
      <c r="Q9" t="str">
        <f t="shared" si="13"/>
        <v>Tue</v>
      </c>
      <c r="R9" t="str">
        <f t="shared" si="14"/>
        <v>Tuesday</v>
      </c>
      <c r="S9" t="str">
        <f t="shared" si="15"/>
        <v>05</v>
      </c>
      <c r="T9" t="str">
        <f t="shared" si="16"/>
        <v>005</v>
      </c>
    </row>
    <row r="10" spans="1:20" x14ac:dyDescent="0.3">
      <c r="A10" s="2">
        <v>39924</v>
      </c>
      <c r="B10">
        <v>6</v>
      </c>
      <c r="C10">
        <f t="shared" si="0"/>
        <v>2009</v>
      </c>
      <c r="D10">
        <f t="shared" si="1"/>
        <v>21</v>
      </c>
      <c r="E10">
        <f t="shared" si="2"/>
        <v>4</v>
      </c>
      <c r="F10" t="b">
        <f t="shared" si="17"/>
        <v>0</v>
      </c>
      <c r="G10" t="b">
        <f t="shared" si="3"/>
        <v>1</v>
      </c>
      <c r="H10" t="b">
        <f t="shared" si="4"/>
        <v>0</v>
      </c>
      <c r="I10" t="str">
        <f t="shared" si="5"/>
        <v>2009</v>
      </c>
      <c r="J10" t="str">
        <f t="shared" si="6"/>
        <v>09</v>
      </c>
      <c r="K10" t="str">
        <f t="shared" si="7"/>
        <v>4</v>
      </c>
      <c r="L10" t="str">
        <f t="shared" si="8"/>
        <v>04</v>
      </c>
      <c r="M10" t="str">
        <f t="shared" si="9"/>
        <v>Apr</v>
      </c>
      <c r="N10" t="str">
        <f t="shared" si="10"/>
        <v>April</v>
      </c>
      <c r="O10" t="str">
        <f t="shared" si="11"/>
        <v>21</v>
      </c>
      <c r="P10" t="str">
        <f t="shared" si="12"/>
        <v>21</v>
      </c>
      <c r="Q10" t="str">
        <f t="shared" si="13"/>
        <v>Tue</v>
      </c>
      <c r="R10" t="str">
        <f t="shared" si="14"/>
        <v>Tuesday</v>
      </c>
      <c r="S10" t="str">
        <f t="shared" si="15"/>
        <v>06</v>
      </c>
      <c r="T10" t="str">
        <f t="shared" si="16"/>
        <v>006</v>
      </c>
    </row>
    <row r="11" spans="1:20" x14ac:dyDescent="0.3">
      <c r="A11" s="2">
        <v>38829</v>
      </c>
      <c r="B11">
        <v>9</v>
      </c>
      <c r="C11">
        <f t="shared" si="0"/>
        <v>2006</v>
      </c>
      <c r="D11">
        <f t="shared" si="1"/>
        <v>22</v>
      </c>
      <c r="E11">
        <f t="shared" si="2"/>
        <v>4</v>
      </c>
      <c r="F11" t="b">
        <f t="shared" si="17"/>
        <v>0</v>
      </c>
      <c r="G11" t="b">
        <f t="shared" si="3"/>
        <v>1</v>
      </c>
      <c r="H11" t="b">
        <f t="shared" si="4"/>
        <v>0</v>
      </c>
      <c r="I11" t="str">
        <f t="shared" si="5"/>
        <v>2006</v>
      </c>
      <c r="J11" t="str">
        <f t="shared" si="6"/>
        <v>06</v>
      </c>
      <c r="K11" t="str">
        <f t="shared" si="7"/>
        <v>4</v>
      </c>
      <c r="L11" t="str">
        <f t="shared" si="8"/>
        <v>04</v>
      </c>
      <c r="M11" t="str">
        <f t="shared" si="9"/>
        <v>Apr</v>
      </c>
      <c r="N11" t="str">
        <f t="shared" si="10"/>
        <v>April</v>
      </c>
      <c r="O11" t="str">
        <f t="shared" si="11"/>
        <v>22</v>
      </c>
      <c r="P11" t="str">
        <f t="shared" si="12"/>
        <v>22</v>
      </c>
      <c r="Q11" t="str">
        <f t="shared" si="13"/>
        <v>Sat</v>
      </c>
      <c r="R11" t="str">
        <f t="shared" si="14"/>
        <v>Saturday</v>
      </c>
      <c r="S11" t="str">
        <f t="shared" si="15"/>
        <v>09</v>
      </c>
      <c r="T11" t="str">
        <f t="shared" si="16"/>
        <v>009</v>
      </c>
    </row>
    <row r="12" spans="1:20" x14ac:dyDescent="0.3">
      <c r="A12" s="2">
        <v>39561</v>
      </c>
      <c r="B12">
        <v>6</v>
      </c>
      <c r="C12">
        <f t="shared" si="0"/>
        <v>2008</v>
      </c>
      <c r="D12">
        <f t="shared" si="1"/>
        <v>23</v>
      </c>
      <c r="E12">
        <f t="shared" si="2"/>
        <v>4</v>
      </c>
      <c r="F12" t="b">
        <f t="shared" si="17"/>
        <v>0</v>
      </c>
      <c r="G12" t="b">
        <f t="shared" si="3"/>
        <v>1</v>
      </c>
      <c r="H12" t="b">
        <f t="shared" si="4"/>
        <v>0</v>
      </c>
      <c r="I12" t="str">
        <f t="shared" si="5"/>
        <v>2008</v>
      </c>
      <c r="J12" t="str">
        <f t="shared" si="6"/>
        <v>08</v>
      </c>
      <c r="K12" t="str">
        <f t="shared" si="7"/>
        <v>4</v>
      </c>
      <c r="L12" t="str">
        <f t="shared" si="8"/>
        <v>04</v>
      </c>
      <c r="M12" t="str">
        <f t="shared" si="9"/>
        <v>Apr</v>
      </c>
      <c r="N12" t="str">
        <f t="shared" si="10"/>
        <v>April</v>
      </c>
      <c r="O12" t="str">
        <f t="shared" si="11"/>
        <v>23</v>
      </c>
      <c r="P12" t="str">
        <f t="shared" si="12"/>
        <v>23</v>
      </c>
      <c r="Q12" t="str">
        <f t="shared" si="13"/>
        <v>Wed</v>
      </c>
      <c r="R12" t="str">
        <f t="shared" si="14"/>
        <v>Wednesday</v>
      </c>
      <c r="S12" t="str">
        <f t="shared" si="15"/>
        <v>06</v>
      </c>
      <c r="T12" t="str">
        <f t="shared" si="16"/>
        <v>006</v>
      </c>
    </row>
    <row r="13" spans="1:20" x14ac:dyDescent="0.3">
      <c r="A13" s="2">
        <v>42148</v>
      </c>
      <c r="B13">
        <v>3</v>
      </c>
      <c r="C13">
        <f t="shared" si="0"/>
        <v>2015</v>
      </c>
      <c r="D13">
        <f t="shared" si="1"/>
        <v>24</v>
      </c>
      <c r="E13">
        <f t="shared" si="2"/>
        <v>5</v>
      </c>
      <c r="F13" t="b">
        <f t="shared" si="17"/>
        <v>0</v>
      </c>
      <c r="G13" t="b">
        <f t="shared" si="3"/>
        <v>0</v>
      </c>
      <c r="H13" t="b">
        <f t="shared" si="4"/>
        <v>1</v>
      </c>
      <c r="I13" t="str">
        <f t="shared" si="5"/>
        <v>2015</v>
      </c>
      <c r="J13" t="str">
        <f t="shared" si="6"/>
        <v>15</v>
      </c>
      <c r="K13" t="str">
        <f t="shared" si="7"/>
        <v>5</v>
      </c>
      <c r="L13" t="str">
        <f t="shared" si="8"/>
        <v>05</v>
      </c>
      <c r="M13" t="str">
        <f t="shared" si="9"/>
        <v>May</v>
      </c>
      <c r="N13" t="str">
        <f t="shared" si="10"/>
        <v>May</v>
      </c>
      <c r="O13" t="str">
        <f t="shared" si="11"/>
        <v>24</v>
      </c>
      <c r="P13" t="str">
        <f t="shared" si="12"/>
        <v>24</v>
      </c>
      <c r="Q13" t="str">
        <f t="shared" si="13"/>
        <v>Sun</v>
      </c>
      <c r="R13" t="str">
        <f t="shared" si="14"/>
        <v>Sunday</v>
      </c>
      <c r="S13" t="str">
        <f t="shared" si="15"/>
        <v>03</v>
      </c>
      <c r="T13" t="str">
        <f t="shared" si="16"/>
        <v>003</v>
      </c>
    </row>
    <row r="14" spans="1:20" x14ac:dyDescent="0.3">
      <c r="A14" s="2">
        <v>39807</v>
      </c>
      <c r="B14">
        <v>66</v>
      </c>
      <c r="C14">
        <f t="shared" si="0"/>
        <v>2008</v>
      </c>
      <c r="D14">
        <f t="shared" si="1"/>
        <v>25</v>
      </c>
      <c r="E14">
        <f t="shared" si="2"/>
        <v>12</v>
      </c>
      <c r="F14" t="b">
        <f t="shared" si="17"/>
        <v>0</v>
      </c>
      <c r="G14" t="b">
        <f t="shared" si="3"/>
        <v>1</v>
      </c>
      <c r="H14" t="b">
        <f t="shared" si="4"/>
        <v>1</v>
      </c>
      <c r="I14" t="str">
        <f t="shared" si="5"/>
        <v>2008</v>
      </c>
      <c r="J14" t="str">
        <f t="shared" si="6"/>
        <v>08</v>
      </c>
      <c r="K14" t="str">
        <f t="shared" si="7"/>
        <v>12</v>
      </c>
      <c r="L14" t="str">
        <f t="shared" si="8"/>
        <v>12</v>
      </c>
      <c r="M14" t="str">
        <f t="shared" si="9"/>
        <v>Dec</v>
      </c>
      <c r="N14" t="str">
        <f t="shared" si="10"/>
        <v>December</v>
      </c>
      <c r="O14" t="str">
        <f t="shared" si="11"/>
        <v>25</v>
      </c>
      <c r="P14" t="str">
        <f t="shared" si="12"/>
        <v>25</v>
      </c>
      <c r="Q14" t="str">
        <f t="shared" si="13"/>
        <v>Thu</v>
      </c>
      <c r="R14" t="str">
        <f t="shared" si="14"/>
        <v>Thursday</v>
      </c>
      <c r="S14" t="str">
        <f t="shared" si="15"/>
        <v>66</v>
      </c>
      <c r="T14" t="str">
        <f t="shared" si="16"/>
        <v>066</v>
      </c>
    </row>
    <row r="15" spans="1:20" x14ac:dyDescent="0.3">
      <c r="A15" s="2">
        <v>39655</v>
      </c>
      <c r="B15">
        <v>7</v>
      </c>
      <c r="C15">
        <f t="shared" si="0"/>
        <v>2008</v>
      </c>
      <c r="D15">
        <f t="shared" si="1"/>
        <v>26</v>
      </c>
      <c r="E15">
        <f t="shared" si="2"/>
        <v>7</v>
      </c>
      <c r="F15" t="b">
        <f t="shared" si="17"/>
        <v>0</v>
      </c>
      <c r="G15" t="b">
        <f t="shared" si="3"/>
        <v>0</v>
      </c>
      <c r="H15" t="b">
        <f t="shared" si="4"/>
        <v>1</v>
      </c>
      <c r="I15" t="str">
        <f t="shared" si="5"/>
        <v>2008</v>
      </c>
      <c r="J15" t="str">
        <f t="shared" si="6"/>
        <v>08</v>
      </c>
      <c r="K15" t="str">
        <f t="shared" si="7"/>
        <v>7</v>
      </c>
      <c r="L15" t="str">
        <f t="shared" si="8"/>
        <v>07</v>
      </c>
      <c r="M15" t="str">
        <f t="shared" si="9"/>
        <v>Jul</v>
      </c>
      <c r="N15" t="str">
        <f t="shared" si="10"/>
        <v>July</v>
      </c>
      <c r="O15" t="str">
        <f t="shared" si="11"/>
        <v>26</v>
      </c>
      <c r="P15" t="str">
        <f t="shared" si="12"/>
        <v>26</v>
      </c>
      <c r="Q15" t="str">
        <f t="shared" si="13"/>
        <v>Sat</v>
      </c>
      <c r="R15" t="str">
        <f t="shared" si="14"/>
        <v>Saturday</v>
      </c>
      <c r="S15" t="str">
        <f t="shared" si="15"/>
        <v>07</v>
      </c>
      <c r="T15" t="str">
        <f t="shared" si="16"/>
        <v>007</v>
      </c>
    </row>
    <row r="16" spans="1:20" x14ac:dyDescent="0.3">
      <c r="A16" s="2">
        <v>39564</v>
      </c>
      <c r="B16">
        <v>15</v>
      </c>
      <c r="C16">
        <f t="shared" si="0"/>
        <v>2008</v>
      </c>
      <c r="D16">
        <f t="shared" si="1"/>
        <v>26</v>
      </c>
      <c r="E16">
        <f t="shared" si="2"/>
        <v>4</v>
      </c>
      <c r="F16" t="b">
        <f t="shared" si="17"/>
        <v>1</v>
      </c>
      <c r="G16" t="b">
        <f t="shared" si="3"/>
        <v>1</v>
      </c>
      <c r="H16" t="b">
        <f t="shared" si="4"/>
        <v>0</v>
      </c>
      <c r="I16" t="str">
        <f t="shared" si="5"/>
        <v>2008</v>
      </c>
      <c r="J16" t="str">
        <f t="shared" si="6"/>
        <v>08</v>
      </c>
      <c r="K16" t="str">
        <f t="shared" si="7"/>
        <v>4</v>
      </c>
      <c r="L16" t="str">
        <f t="shared" si="8"/>
        <v>04</v>
      </c>
      <c r="M16" t="str">
        <f t="shared" si="9"/>
        <v>Apr</v>
      </c>
      <c r="N16" t="str">
        <f t="shared" si="10"/>
        <v>April</v>
      </c>
      <c r="O16" t="str">
        <f t="shared" si="11"/>
        <v>26</v>
      </c>
      <c r="P16" t="str">
        <f t="shared" si="12"/>
        <v>26</v>
      </c>
      <c r="Q16" t="str">
        <f t="shared" si="13"/>
        <v>Sat</v>
      </c>
      <c r="R16" t="str">
        <f t="shared" si="14"/>
        <v>Saturday</v>
      </c>
      <c r="S16" t="str">
        <f t="shared" si="15"/>
        <v>15</v>
      </c>
      <c r="T16" t="str">
        <f t="shared" si="16"/>
        <v>015</v>
      </c>
    </row>
    <row r="17" spans="1:20" x14ac:dyDescent="0.3">
      <c r="A17" s="2">
        <v>39809</v>
      </c>
      <c r="B17">
        <v>10</v>
      </c>
      <c r="C17">
        <f t="shared" si="0"/>
        <v>2008</v>
      </c>
      <c r="D17">
        <f t="shared" si="1"/>
        <v>27</v>
      </c>
      <c r="E17">
        <f t="shared" si="2"/>
        <v>12</v>
      </c>
      <c r="F17" t="b">
        <f t="shared" si="17"/>
        <v>0</v>
      </c>
      <c r="G17" t="b">
        <f t="shared" si="3"/>
        <v>1</v>
      </c>
      <c r="H17" t="b">
        <f t="shared" si="4"/>
        <v>1</v>
      </c>
      <c r="I17" t="str">
        <f t="shared" si="5"/>
        <v>2008</v>
      </c>
      <c r="J17" t="str">
        <f t="shared" si="6"/>
        <v>08</v>
      </c>
      <c r="K17" t="str">
        <f t="shared" si="7"/>
        <v>12</v>
      </c>
      <c r="L17" t="str">
        <f t="shared" si="8"/>
        <v>12</v>
      </c>
      <c r="M17" t="str">
        <f t="shared" si="9"/>
        <v>Dec</v>
      </c>
      <c r="N17" t="str">
        <f t="shared" si="10"/>
        <v>December</v>
      </c>
      <c r="O17" t="str">
        <f t="shared" si="11"/>
        <v>27</v>
      </c>
      <c r="P17" t="str">
        <f t="shared" si="12"/>
        <v>27</v>
      </c>
      <c r="Q17" t="str">
        <f t="shared" si="13"/>
        <v>Sat</v>
      </c>
      <c r="R17" t="str">
        <f t="shared" si="14"/>
        <v>Saturday</v>
      </c>
      <c r="S17" t="str">
        <f t="shared" si="15"/>
        <v>10</v>
      </c>
      <c r="T17" t="str">
        <f t="shared" si="16"/>
        <v>010</v>
      </c>
    </row>
    <row r="18" spans="1:20" x14ac:dyDescent="0.3">
      <c r="A18" s="2">
        <v>39718</v>
      </c>
      <c r="B18">
        <v>4</v>
      </c>
      <c r="C18">
        <f t="shared" si="0"/>
        <v>2008</v>
      </c>
      <c r="D18">
        <f t="shared" si="1"/>
        <v>27</v>
      </c>
      <c r="E18">
        <f t="shared" si="2"/>
        <v>9</v>
      </c>
      <c r="F18" t="b">
        <f t="shared" si="17"/>
        <v>0</v>
      </c>
      <c r="G18" t="b">
        <f t="shared" si="3"/>
        <v>0</v>
      </c>
      <c r="H18" t="b">
        <f t="shared" si="4"/>
        <v>1</v>
      </c>
      <c r="I18" t="str">
        <f t="shared" si="5"/>
        <v>2008</v>
      </c>
      <c r="J18" t="str">
        <f t="shared" si="6"/>
        <v>08</v>
      </c>
      <c r="K18" t="str">
        <f t="shared" si="7"/>
        <v>9</v>
      </c>
      <c r="L18" t="str">
        <f t="shared" si="8"/>
        <v>09</v>
      </c>
      <c r="M18" t="str">
        <f t="shared" si="9"/>
        <v>Sep</v>
      </c>
      <c r="N18" t="str">
        <f t="shared" si="10"/>
        <v>September</v>
      </c>
      <c r="O18" t="str">
        <f t="shared" si="11"/>
        <v>27</v>
      </c>
      <c r="P18" t="str">
        <f t="shared" si="12"/>
        <v>27</v>
      </c>
      <c r="Q18" t="str">
        <f t="shared" si="13"/>
        <v>Sat</v>
      </c>
      <c r="R18" t="str">
        <f t="shared" si="14"/>
        <v>Saturday</v>
      </c>
      <c r="S18" t="str">
        <f t="shared" si="15"/>
        <v>04</v>
      </c>
      <c r="T18" t="str">
        <f t="shared" si="16"/>
        <v>004</v>
      </c>
    </row>
    <row r="19" spans="1:20" x14ac:dyDescent="0.3">
      <c r="A19" s="2">
        <v>39688</v>
      </c>
      <c r="B19">
        <v>13</v>
      </c>
      <c r="C19">
        <f t="shared" si="0"/>
        <v>2008</v>
      </c>
      <c r="D19">
        <f t="shared" si="1"/>
        <v>28</v>
      </c>
      <c r="E19">
        <f t="shared" si="2"/>
        <v>8</v>
      </c>
      <c r="F19" t="b">
        <f t="shared" si="17"/>
        <v>0</v>
      </c>
      <c r="G19" t="b">
        <f t="shared" si="3"/>
        <v>1</v>
      </c>
      <c r="H19" t="b">
        <f t="shared" si="4"/>
        <v>1</v>
      </c>
      <c r="I19" t="str">
        <f t="shared" si="5"/>
        <v>2008</v>
      </c>
      <c r="J19" t="str">
        <f t="shared" si="6"/>
        <v>08</v>
      </c>
      <c r="K19" t="str">
        <f t="shared" si="7"/>
        <v>8</v>
      </c>
      <c r="L19" t="str">
        <f t="shared" si="8"/>
        <v>08</v>
      </c>
      <c r="M19" t="str">
        <f t="shared" si="9"/>
        <v>Aug</v>
      </c>
      <c r="N19" t="str">
        <f t="shared" si="10"/>
        <v>August</v>
      </c>
      <c r="O19" t="str">
        <f t="shared" si="11"/>
        <v>28</v>
      </c>
      <c r="P19" t="str">
        <f t="shared" si="12"/>
        <v>28</v>
      </c>
      <c r="Q19" t="str">
        <f t="shared" si="13"/>
        <v>Thu</v>
      </c>
      <c r="R19" t="str">
        <f t="shared" si="14"/>
        <v>Thursday</v>
      </c>
      <c r="S19" t="str">
        <f t="shared" si="15"/>
        <v>13</v>
      </c>
      <c r="T19" t="str">
        <f t="shared" si="16"/>
        <v>013</v>
      </c>
    </row>
    <row r="20" spans="1:20" x14ac:dyDescent="0.3">
      <c r="A20" s="2">
        <v>39507</v>
      </c>
      <c r="B20">
        <v>7</v>
      </c>
      <c r="C20">
        <f t="shared" si="0"/>
        <v>2008</v>
      </c>
      <c r="D20">
        <f t="shared" si="1"/>
        <v>29</v>
      </c>
      <c r="E20">
        <f t="shared" si="2"/>
        <v>2</v>
      </c>
      <c r="F20" t="b">
        <f t="shared" si="17"/>
        <v>0</v>
      </c>
      <c r="G20" t="b">
        <f t="shared" si="3"/>
        <v>0</v>
      </c>
      <c r="H20" t="b">
        <f t="shared" si="4"/>
        <v>1</v>
      </c>
      <c r="I20" t="str">
        <f t="shared" si="5"/>
        <v>2008</v>
      </c>
      <c r="J20" t="str">
        <f t="shared" si="6"/>
        <v>08</v>
      </c>
      <c r="K20" t="str">
        <f t="shared" si="7"/>
        <v>2</v>
      </c>
      <c r="L20" t="str">
        <f t="shared" si="8"/>
        <v>02</v>
      </c>
      <c r="M20" t="str">
        <f t="shared" si="9"/>
        <v>Feb</v>
      </c>
      <c r="N20" t="str">
        <f t="shared" si="10"/>
        <v>February</v>
      </c>
      <c r="O20" t="str">
        <f t="shared" si="11"/>
        <v>29</v>
      </c>
      <c r="P20" t="str">
        <f t="shared" si="12"/>
        <v>29</v>
      </c>
      <c r="Q20" t="str">
        <f t="shared" si="13"/>
        <v>Fri</v>
      </c>
      <c r="R20" t="str">
        <f t="shared" si="14"/>
        <v>Friday</v>
      </c>
      <c r="S20" t="str">
        <f t="shared" si="15"/>
        <v>07</v>
      </c>
      <c r="T20" t="str">
        <f t="shared" si="16"/>
        <v>007</v>
      </c>
    </row>
    <row r="21" spans="1:20" x14ac:dyDescent="0.3">
      <c r="A21" s="2"/>
    </row>
    <row r="22" spans="1:20" ht="15" thickBot="1" x14ac:dyDescent="0.35">
      <c r="A22" s="3"/>
      <c r="S22">
        <f>SUM(S6:S20)</f>
        <v>0</v>
      </c>
    </row>
    <row r="23" spans="1:20" x14ac:dyDescent="0.3">
      <c r="B23" s="5" t="s">
        <v>58</v>
      </c>
      <c r="C23" s="7">
        <v>33</v>
      </c>
      <c r="E23" t="s">
        <v>61</v>
      </c>
      <c r="S23">
        <f>S6+S7</f>
        <v>42</v>
      </c>
    </row>
    <row r="24" spans="1:20" ht="15" thickBot="1" x14ac:dyDescent="0.35">
      <c r="B24" s="6" t="s">
        <v>59</v>
      </c>
      <c r="C24" s="8" t="str">
        <f>IF(AND(C23&gt;=30, C23&lt;=40), "Yes", "No")</f>
        <v>Yes</v>
      </c>
      <c r="E24" s="2">
        <f>DATE(2025, 12, 7)</f>
        <v>45998</v>
      </c>
    </row>
    <row r="25" spans="1:20" ht="15" thickBot="1" x14ac:dyDescent="0.35">
      <c r="A25" s="3"/>
    </row>
    <row r="26" spans="1:20" x14ac:dyDescent="0.3">
      <c r="B26" s="5" t="s">
        <v>58</v>
      </c>
      <c r="C26" s="7" t="s">
        <v>22</v>
      </c>
      <c r="E26" t="s">
        <v>62</v>
      </c>
    </row>
    <row r="27" spans="1:20" ht="15" thickBot="1" x14ac:dyDescent="0.35">
      <c r="B27" s="6" t="s">
        <v>60</v>
      </c>
      <c r="C27" s="8" t="str">
        <f>IF(OR(C26="Dr", C26="Prof"), "Yes", "No")</f>
        <v>Yes</v>
      </c>
      <c r="E27" s="4">
        <f ca="1">NOW()</f>
        <v>46004.49762199074</v>
      </c>
    </row>
    <row r="28" spans="1:20" ht="15" thickBot="1" x14ac:dyDescent="0.35"/>
    <row r="29" spans="1:20" x14ac:dyDescent="0.3">
      <c r="B29" s="5" t="s">
        <v>58</v>
      </c>
      <c r="C29" s="7">
        <v>33</v>
      </c>
    </row>
    <row r="30" spans="1:20" ht="15" thickBot="1" x14ac:dyDescent="0.35">
      <c r="B30" s="6" t="s">
        <v>65</v>
      </c>
      <c r="C30" s="8" t="b">
        <f>NOT(AND(C29&gt;=30, C29&lt;=40))</f>
        <v>0</v>
      </c>
      <c r="D30" t="s">
        <v>66</v>
      </c>
    </row>
  </sheetData>
  <mergeCells count="1">
    <mergeCell ref="I2: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B9B0-F997-4995-B5D4-0833973A9272}">
  <dimension ref="B2:E15"/>
  <sheetViews>
    <sheetView workbookViewId="0">
      <selection activeCell="G15" sqref="G15"/>
    </sheetView>
  </sheetViews>
  <sheetFormatPr defaultRowHeight="14.4" x14ac:dyDescent="0.3"/>
  <cols>
    <col min="2" max="2" width="5.21875" customWidth="1"/>
    <col min="3" max="3" width="28" bestFit="1" customWidth="1"/>
    <col min="4" max="4" width="15" bestFit="1" customWidth="1"/>
    <col min="5" max="5" width="5.44140625" customWidth="1"/>
  </cols>
  <sheetData>
    <row r="2" spans="2:5" x14ac:dyDescent="0.3">
      <c r="B2" s="9"/>
      <c r="C2" s="9"/>
      <c r="D2" s="9"/>
      <c r="E2" s="9"/>
    </row>
    <row r="3" spans="2:5" x14ac:dyDescent="0.3">
      <c r="B3" s="9"/>
      <c r="C3" s="9" t="s">
        <v>67</v>
      </c>
      <c r="D3" s="10">
        <v>4</v>
      </c>
      <c r="E3" s="9"/>
    </row>
    <row r="4" spans="2:5" x14ac:dyDescent="0.3">
      <c r="B4" s="9"/>
      <c r="C4" s="9" t="s">
        <v>68</v>
      </c>
      <c r="D4" s="10"/>
      <c r="E4" s="9"/>
    </row>
    <row r="5" spans="2:5" x14ac:dyDescent="0.3">
      <c r="B5" s="9"/>
      <c r="C5" s="9" t="s">
        <v>69</v>
      </c>
      <c r="D5" s="10" t="s">
        <v>72</v>
      </c>
      <c r="E5" s="9"/>
    </row>
    <row r="6" spans="2:5" x14ac:dyDescent="0.3">
      <c r="B6" s="9"/>
      <c r="C6" s="9" t="s">
        <v>70</v>
      </c>
      <c r="D6" s="11"/>
      <c r="E6" s="9"/>
    </row>
    <row r="7" spans="2:5" x14ac:dyDescent="0.3">
      <c r="B7" s="9"/>
      <c r="C7" s="9" t="s">
        <v>71</v>
      </c>
      <c r="D7" s="10"/>
      <c r="E7" s="9"/>
    </row>
    <row r="8" spans="2:5" x14ac:dyDescent="0.3">
      <c r="B8" s="9"/>
      <c r="C8" s="9"/>
      <c r="D8" s="9"/>
      <c r="E8" s="9"/>
    </row>
    <row r="10" spans="2:5" x14ac:dyDescent="0.3">
      <c r="B10" s="19" t="s">
        <v>92</v>
      </c>
      <c r="C10" s="19"/>
      <c r="D10" s="19"/>
      <c r="E10" s="19"/>
    </row>
    <row r="11" spans="2:5" x14ac:dyDescent="0.3">
      <c r="B11" s="9"/>
      <c r="C11" s="17" t="s">
        <v>93</v>
      </c>
      <c r="D11" s="17">
        <v>5</v>
      </c>
      <c r="E11" s="9"/>
    </row>
    <row r="12" spans="2:5" x14ac:dyDescent="0.3">
      <c r="B12" s="9"/>
      <c r="C12" s="17" t="s">
        <v>94</v>
      </c>
      <c r="D12" s="17">
        <v>0</v>
      </c>
      <c r="E12" s="9"/>
    </row>
    <row r="13" spans="2:5" x14ac:dyDescent="0.3">
      <c r="B13" s="9"/>
      <c r="C13" s="17" t="s">
        <v>96</v>
      </c>
      <c r="D13" s="17" t="e">
        <f>D11/D12</f>
        <v>#DIV/0!</v>
      </c>
      <c r="E13" s="9"/>
    </row>
    <row r="14" spans="2:5" x14ac:dyDescent="0.3">
      <c r="B14" s="9"/>
      <c r="C14" s="17" t="s">
        <v>95</v>
      </c>
      <c r="D14" s="17" t="str">
        <f>IFERROR(D11/D12, "Can't divide by 0!")</f>
        <v>Can't divide by 0!</v>
      </c>
      <c r="E14" s="9"/>
    </row>
    <row r="15" spans="2:5" x14ac:dyDescent="0.3">
      <c r="B15" s="9"/>
      <c r="C15" s="9"/>
      <c r="D15" s="9"/>
      <c r="E15" s="9"/>
    </row>
  </sheetData>
  <mergeCells count="1">
    <mergeCell ref="B10:E10"/>
  </mergeCells>
  <dataValidations count="4">
    <dataValidation type="whole" operator="greaterThan" allowBlank="1" showInputMessage="1" showErrorMessage="1" errorTitle="Rules for Quantity" error="Please enter a whole number that is greater than 0..." sqref="D3" xr:uid="{14132F07-EE54-4882-AD64-F794128530F2}">
      <formula1>0</formula1>
    </dataValidation>
    <dataValidation type="decimal" operator="greaterThan" allowBlank="1" showInputMessage="1" showErrorMessage="1" promptTitle="Restrictions" prompt="- Must be greater than 0_x000a_- Can enter intergers or decimal numbers" sqref="D4" xr:uid="{797B4E74-C4D4-439F-AB65-A0959F9CF5E9}">
      <formula1>0</formula1>
    </dataValidation>
    <dataValidation type="list" allowBlank="1" showInputMessage="1" showErrorMessage="1" sqref="D5" xr:uid="{022C5EF3-9B8A-4D12-AEBD-2435545F112B}">
      <formula1>"Mon, Tue, Wed, Thu, Fri"</formula1>
    </dataValidation>
    <dataValidation type="date" operator="greaterThan" allowBlank="1" showInputMessage="1" showErrorMessage="1" sqref="D6" xr:uid="{804816AE-7E02-49DC-A67F-A698F2AC1FC2}">
      <formula1>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4EABE1-140F-44AF-875C-6FCE734B97ED}">
          <x14:formula1>
            <xm:f>'logical operators and text fn'!$C$5:$T$5</xm:f>
          </x14:formula1>
          <xm:sqref>D7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54AD-E76F-4FBD-BB8F-6D3515ECEDCB}">
  <dimension ref="A1:F7"/>
  <sheetViews>
    <sheetView workbookViewId="0">
      <selection activeCell="B2" sqref="B2:B7"/>
    </sheetView>
  </sheetViews>
  <sheetFormatPr defaultRowHeight="14.4" x14ac:dyDescent="0.3"/>
  <cols>
    <col min="2" max="2" width="10.6640625" bestFit="1" customWidth="1"/>
    <col min="3" max="3" width="9.77734375" bestFit="1" customWidth="1"/>
    <col min="4" max="4" width="11.33203125" bestFit="1" customWidth="1"/>
    <col min="5" max="5" width="12" bestFit="1" customWidth="1"/>
    <col min="6" max="6" width="13.88671875" bestFit="1" customWidth="1"/>
  </cols>
  <sheetData>
    <row r="1" spans="1:6" x14ac:dyDescent="0.3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3">
      <c r="A2">
        <v>79</v>
      </c>
      <c r="B2" t="s">
        <v>79</v>
      </c>
      <c r="C2">
        <v>86</v>
      </c>
      <c r="D2">
        <v>68.7</v>
      </c>
      <c r="E2">
        <v>64.8</v>
      </c>
      <c r="F2">
        <v>75.599999999999994</v>
      </c>
    </row>
    <row r="3" spans="1:6" x14ac:dyDescent="0.3">
      <c r="A3">
        <v>261</v>
      </c>
      <c r="B3" t="s">
        <v>80</v>
      </c>
      <c r="C3">
        <v>80</v>
      </c>
      <c r="D3">
        <v>60.5</v>
      </c>
      <c r="E3">
        <v>62</v>
      </c>
      <c r="F3">
        <v>61</v>
      </c>
    </row>
    <row r="4" spans="1:6" x14ac:dyDescent="0.3">
      <c r="A4">
        <v>2766</v>
      </c>
      <c r="B4" t="s">
        <v>81</v>
      </c>
      <c r="C4">
        <v>13</v>
      </c>
      <c r="D4">
        <v>72.3</v>
      </c>
      <c r="E4">
        <v>82.9</v>
      </c>
      <c r="F4">
        <v>61.05</v>
      </c>
    </row>
    <row r="5" spans="1:6" x14ac:dyDescent="0.3">
      <c r="A5">
        <v>281</v>
      </c>
      <c r="B5" t="s">
        <v>82</v>
      </c>
      <c r="C5">
        <v>46</v>
      </c>
      <c r="D5">
        <v>52.2</v>
      </c>
      <c r="E5">
        <v>78.400000000000006</v>
      </c>
      <c r="F5">
        <v>72</v>
      </c>
    </row>
    <row r="6" spans="1:6" x14ac:dyDescent="0.3">
      <c r="A6">
        <v>2744</v>
      </c>
      <c r="B6" t="s">
        <v>83</v>
      </c>
      <c r="C6">
        <v>2</v>
      </c>
      <c r="D6">
        <v>68.8</v>
      </c>
      <c r="E6">
        <v>55.8</v>
      </c>
      <c r="F6">
        <v>65.3</v>
      </c>
    </row>
    <row r="7" spans="1:6" x14ac:dyDescent="0.3">
      <c r="A7">
        <v>2742</v>
      </c>
      <c r="B7" t="s">
        <v>84</v>
      </c>
      <c r="C7">
        <v>1.5</v>
      </c>
      <c r="D7">
        <v>64.900000000000006</v>
      </c>
      <c r="E7">
        <v>75</v>
      </c>
      <c r="F7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F9B2-A833-47E0-B82E-490967A2FEFD}">
  <dimension ref="A1:L30"/>
  <sheetViews>
    <sheetView workbookViewId="0">
      <selection activeCell="F7" sqref="F7"/>
    </sheetView>
  </sheetViews>
  <sheetFormatPr defaultRowHeight="14.4" x14ac:dyDescent="0.3"/>
  <cols>
    <col min="1" max="1" width="11.77734375" bestFit="1" customWidth="1"/>
    <col min="2" max="2" width="21.6640625" bestFit="1" customWidth="1"/>
    <col min="3" max="3" width="13.88671875" bestFit="1" customWidth="1"/>
    <col min="4" max="4" width="13.21875" bestFit="1" customWidth="1"/>
    <col min="5" max="5" width="13.88671875" bestFit="1" customWidth="1"/>
    <col min="6" max="6" width="17.6640625" bestFit="1" customWidth="1"/>
    <col min="7" max="7" width="12.21875" bestFit="1" customWidth="1"/>
    <col min="10" max="10" width="13.88671875" bestFit="1" customWidth="1"/>
    <col min="11" max="11" width="16" bestFit="1" customWidth="1"/>
  </cols>
  <sheetData>
    <row r="1" spans="1:12" x14ac:dyDescent="0.3">
      <c r="A1" t="s">
        <v>74</v>
      </c>
      <c r="B1" t="s">
        <v>85</v>
      </c>
      <c r="C1" t="s">
        <v>76</v>
      </c>
      <c r="D1" t="s">
        <v>75</v>
      </c>
      <c r="E1" t="s">
        <v>78</v>
      </c>
      <c r="F1" t="s">
        <v>73</v>
      </c>
    </row>
    <row r="2" spans="1:12" x14ac:dyDescent="0.3">
      <c r="A2" t="s">
        <v>79</v>
      </c>
      <c r="B2">
        <v>2590</v>
      </c>
      <c r="C2">
        <f>VLOOKUP($A2, Population!$B$2:$F$7, 3, FALSE)</f>
        <v>68.7</v>
      </c>
      <c r="D2">
        <f>VLOOKUP($A2, Population!$B$2:$F$7, 2, FALSE)</f>
        <v>86</v>
      </c>
      <c r="E2">
        <f>VLOOKUP($A2, Population!$B$2:$F$7, 5, FALSE)</f>
        <v>75.599999999999994</v>
      </c>
      <c r="F2">
        <f>INDEX(Population!$A$2:$A$7, G2)</f>
        <v>79</v>
      </c>
      <c r="G2">
        <f>MATCH(A2, Population!$B$2:$B$7, 0)</f>
        <v>1</v>
      </c>
      <c r="I2" s="20" t="s">
        <v>106</v>
      </c>
      <c r="J2" s="20"/>
      <c r="K2" s="20"/>
      <c r="L2" s="20"/>
    </row>
    <row r="3" spans="1:12" x14ac:dyDescent="0.3">
      <c r="A3" t="s">
        <v>83</v>
      </c>
      <c r="B3">
        <v>3196</v>
      </c>
      <c r="C3">
        <f>VLOOKUP($A3, Population!$B$2:$F$7, 3, FALSE)</f>
        <v>68.8</v>
      </c>
      <c r="D3">
        <f>VLOOKUP($A3, Population!$B$2:$F$7, 2, FALSE)</f>
        <v>2</v>
      </c>
      <c r="E3">
        <f>VLOOKUP($A3, Population!$B$2:$F$7, 5, FALSE)</f>
        <v>65.3</v>
      </c>
      <c r="F3">
        <f>INDEX(Population!$A$2:$A$7, G3)</f>
        <v>2744</v>
      </c>
      <c r="G3">
        <f>MATCH(A3, Population!$B$2:$B$7, 0)</f>
        <v>5</v>
      </c>
      <c r="I3" s="25"/>
      <c r="J3" s="25"/>
      <c r="K3" s="25"/>
      <c r="L3" s="25"/>
    </row>
    <row r="4" spans="1:12" x14ac:dyDescent="0.3">
      <c r="A4" t="s">
        <v>84</v>
      </c>
      <c r="B4">
        <v>2400</v>
      </c>
      <c r="C4">
        <f>VLOOKUP($A4, Population!$B$2:$F$7, 3, FALSE)</f>
        <v>64.900000000000006</v>
      </c>
      <c r="D4">
        <f>VLOOKUP($A4, Population!$B$2:$F$7, 2, FALSE)</f>
        <v>1.5</v>
      </c>
      <c r="E4">
        <f>VLOOKUP($A4, Population!$B$2:$F$7, 5, FALSE)</f>
        <v>70</v>
      </c>
      <c r="F4">
        <f>INDEX(Population!$A$2:$A$7, G4)</f>
        <v>2742</v>
      </c>
      <c r="G4">
        <f>MATCH(A4, Population!$B$2:$B$7, 0)</f>
        <v>6</v>
      </c>
      <c r="I4" s="25"/>
      <c r="J4" s="25" t="s">
        <v>74</v>
      </c>
      <c r="K4" s="10" t="s">
        <v>81</v>
      </c>
      <c r="L4" s="25"/>
    </row>
    <row r="5" spans="1:12" x14ac:dyDescent="0.3">
      <c r="A5" t="s">
        <v>81</v>
      </c>
      <c r="B5">
        <v>2530</v>
      </c>
      <c r="C5">
        <f>VLOOKUP($A5, Population!$B$2:$F$7, 3, FALSE)</f>
        <v>72.3</v>
      </c>
      <c r="D5">
        <f>VLOOKUP($A5, Population!$B$2:$F$7, 2, FALSE)</f>
        <v>13</v>
      </c>
      <c r="E5">
        <f>VLOOKUP($A5, Population!$B$2:$F$7, 5, FALSE)</f>
        <v>61.05</v>
      </c>
      <c r="F5">
        <f>INDEX(Population!$A$2:$A$7, G5)</f>
        <v>2766</v>
      </c>
      <c r="G5">
        <f>MATCH(A5, Population!$B$2:$B$7, 0)</f>
        <v>3</v>
      </c>
      <c r="I5" s="25"/>
      <c r="J5" s="25" t="s">
        <v>85</v>
      </c>
      <c r="K5" s="10">
        <f>IFERROR(VLOOKUP($K$4,$A$2:$E$7,2,FALSE),"City is not selected…")</f>
        <v>2530</v>
      </c>
      <c r="L5" s="25"/>
    </row>
    <row r="6" spans="1:12" x14ac:dyDescent="0.3">
      <c r="A6" t="s">
        <v>82</v>
      </c>
      <c r="B6">
        <v>2900</v>
      </c>
      <c r="C6">
        <f>VLOOKUP($A6, Population!$B$2:$F$7, 3, FALSE)</f>
        <v>52.2</v>
      </c>
      <c r="D6">
        <f>VLOOKUP($A6, Population!$B$2:$F$7, 2, FALSE)</f>
        <v>46</v>
      </c>
      <c r="E6">
        <f>VLOOKUP($A6, Population!$B$2:$F$7, 5, FALSE)</f>
        <v>72</v>
      </c>
      <c r="F6">
        <f>INDEX(Population!$A$2:$A$7, G6)</f>
        <v>281</v>
      </c>
      <c r="G6">
        <f>MATCH(A6, Population!$B$2:$B$7, 0)</f>
        <v>4</v>
      </c>
      <c r="I6" s="25"/>
      <c r="J6" s="25" t="s">
        <v>107</v>
      </c>
      <c r="K6" s="10">
        <f>IFERROR(VLOOKUP($K$4,$A$2:$E$7,3,FALSE),"City is not selected…")</f>
        <v>72.3</v>
      </c>
      <c r="L6" s="25"/>
    </row>
    <row r="7" spans="1:12" x14ac:dyDescent="0.3">
      <c r="A7" t="s">
        <v>80</v>
      </c>
      <c r="B7">
        <v>2850</v>
      </c>
      <c r="C7">
        <f>VLOOKUP($A7, Population!$B$2:$F$7, 3, FALSE)</f>
        <v>60.5</v>
      </c>
      <c r="D7">
        <f>VLOOKUP($A7, Population!$B$2:$F$7, 2, FALSE)</f>
        <v>80</v>
      </c>
      <c r="E7">
        <f>VLOOKUP($A7, Population!$B$2:$F$7, 5, FALSE)</f>
        <v>61</v>
      </c>
      <c r="F7">
        <f>INDEX(Population!$A$2:$A$7, G7)</f>
        <v>261</v>
      </c>
      <c r="G7">
        <f>MATCH(A7, Population!$B$2:$B$7, 0)</f>
        <v>2</v>
      </c>
      <c r="I7" s="25"/>
      <c r="J7" s="25" t="s">
        <v>75</v>
      </c>
      <c r="K7" s="10">
        <f>IFERROR(VLOOKUP($K$4,$A$2:$E$7,4,FALSE),"City is not selected…")</f>
        <v>13</v>
      </c>
      <c r="L7" s="25"/>
    </row>
    <row r="8" spans="1:12" x14ac:dyDescent="0.3">
      <c r="I8" s="25"/>
      <c r="J8" s="25" t="s">
        <v>78</v>
      </c>
      <c r="K8" s="10">
        <f>IFERROR(VLOOKUP($K$4,$A$2:$E$7,5,FALSE),"City is not selected…")</f>
        <v>61.05</v>
      </c>
      <c r="L8" s="25"/>
    </row>
    <row r="9" spans="1:12" x14ac:dyDescent="0.3">
      <c r="I9" s="25"/>
      <c r="J9" s="25"/>
      <c r="K9" s="25"/>
      <c r="L9" s="25"/>
    </row>
    <row r="11" spans="1:12" x14ac:dyDescent="0.3">
      <c r="A11" s="20" t="s">
        <v>86</v>
      </c>
      <c r="B11" s="20"/>
      <c r="C11" s="20"/>
      <c r="E11" s="20" t="s">
        <v>87</v>
      </c>
      <c r="F11" s="20"/>
      <c r="G11" s="20"/>
    </row>
    <row r="12" spans="1:12" x14ac:dyDescent="0.3">
      <c r="A12">
        <f>MATCH("Patan", A1:A7, 0)</f>
        <v>5</v>
      </c>
      <c r="B12" s="21" t="s">
        <v>74</v>
      </c>
      <c r="C12" s="21" t="s">
        <v>82</v>
      </c>
      <c r="E12" t="str">
        <f>INDEX(A1:A7, 4)</f>
        <v>Palanpur</v>
      </c>
      <c r="F12" s="21" t="s">
        <v>97</v>
      </c>
      <c r="G12" s="21">
        <v>2</v>
      </c>
    </row>
    <row r="13" spans="1:12" x14ac:dyDescent="0.3">
      <c r="B13" s="21" t="s">
        <v>97</v>
      </c>
      <c r="C13" s="21">
        <f>MATCH(C12, A2:A7, 0)</f>
        <v>5</v>
      </c>
      <c r="F13" s="21" t="s">
        <v>74</v>
      </c>
      <c r="G13" s="21" t="str">
        <f>IFERROR(INDEX(A2:A7, G12), "Please Enter Row Number")</f>
        <v>Disa</v>
      </c>
    </row>
    <row r="15" spans="1:12" x14ac:dyDescent="0.3">
      <c r="A15">
        <f>MATCH("Population", A1:F1, 0)</f>
        <v>4</v>
      </c>
      <c r="B15" s="21" t="s">
        <v>90</v>
      </c>
      <c r="C15" s="21" t="s">
        <v>76</v>
      </c>
      <c r="F15" s="21" t="s">
        <v>100</v>
      </c>
      <c r="G15" s="21">
        <v>6</v>
      </c>
    </row>
    <row r="16" spans="1:12" x14ac:dyDescent="0.3">
      <c r="B16" s="21" t="s">
        <v>98</v>
      </c>
      <c r="C16" s="21">
        <f>IFERROR(MATCH(C15, A1:F1, 0), "Please select parameter")</f>
        <v>3</v>
      </c>
      <c r="F16" s="21" t="s">
        <v>90</v>
      </c>
      <c r="G16" s="21" t="str">
        <f>INDEX(A1:F1, 1, G15)</f>
        <v>STD Code</v>
      </c>
    </row>
    <row r="18" spans="1:7" x14ac:dyDescent="0.3">
      <c r="B18" s="23" t="e">
        <f>MATCH(2400, A2:E7, 0)</f>
        <v>#N/A</v>
      </c>
      <c r="F18" s="21" t="s">
        <v>101</v>
      </c>
      <c r="G18" s="21">
        <v>3</v>
      </c>
    </row>
    <row r="19" spans="1:7" x14ac:dyDescent="0.3">
      <c r="B19" s="22" t="s">
        <v>99</v>
      </c>
      <c r="C19" s="22"/>
      <c r="F19" s="21" t="s">
        <v>102</v>
      </c>
      <c r="G19" s="21">
        <v>1</v>
      </c>
    </row>
    <row r="20" spans="1:7" x14ac:dyDescent="0.3">
      <c r="F20" s="21" t="s">
        <v>103</v>
      </c>
      <c r="G20" s="21" t="str">
        <f>INDEX(A1:E7, G18, G19)</f>
        <v>Disa</v>
      </c>
    </row>
    <row r="24" spans="1:7" x14ac:dyDescent="0.3">
      <c r="A24" s="12"/>
      <c r="B24" s="12"/>
      <c r="C24" s="12"/>
      <c r="D24" s="12"/>
    </row>
    <row r="25" spans="1:7" x14ac:dyDescent="0.3">
      <c r="A25" s="12"/>
      <c r="B25" s="12" t="s">
        <v>89</v>
      </c>
      <c r="C25" s="13" t="s">
        <v>83</v>
      </c>
      <c r="D25" s="12"/>
      <c r="F25" s="14" t="s">
        <v>105</v>
      </c>
      <c r="G25">
        <f>MATCH(C25, A2:A7, 0)</f>
        <v>2</v>
      </c>
    </row>
    <row r="26" spans="1:7" x14ac:dyDescent="0.3">
      <c r="A26" s="12"/>
      <c r="B26" s="12" t="s">
        <v>90</v>
      </c>
      <c r="C26" s="15" t="s">
        <v>78</v>
      </c>
      <c r="D26" s="12"/>
      <c r="F26" s="14" t="s">
        <v>104</v>
      </c>
      <c r="G26">
        <f>MATCH(C26, B1:E1, 0)</f>
        <v>4</v>
      </c>
    </row>
    <row r="27" spans="1:7" x14ac:dyDescent="0.3">
      <c r="A27" s="12"/>
      <c r="B27" s="12" t="s">
        <v>88</v>
      </c>
      <c r="C27" s="15">
        <f>INDEX(B2:E7, G25, G26)</f>
        <v>65.3</v>
      </c>
      <c r="D27" s="12"/>
    </row>
    <row r="28" spans="1:7" x14ac:dyDescent="0.3">
      <c r="A28" s="12"/>
      <c r="B28" s="12" t="s">
        <v>91</v>
      </c>
      <c r="C28" s="24">
        <f>INDEX(B2:F7, MATCH(C25, A2:A7, 0), MATCH(C26, B1:F1, 0))</f>
        <v>65.3</v>
      </c>
      <c r="D28" s="12"/>
    </row>
    <row r="29" spans="1:7" x14ac:dyDescent="0.3">
      <c r="A29" s="12"/>
      <c r="B29" s="12" t="s">
        <v>108</v>
      </c>
      <c r="C29" s="16">
        <f>VLOOKUP(C25, A2:F7, MATCH(C26, A1:F1, 0), FALSE)</f>
        <v>65.3</v>
      </c>
      <c r="D29" s="12"/>
    </row>
    <row r="30" spans="1:7" x14ac:dyDescent="0.3">
      <c r="A30" s="12"/>
      <c r="B30" s="12"/>
      <c r="C30" s="12"/>
      <c r="D30" s="12"/>
    </row>
  </sheetData>
  <mergeCells count="4">
    <mergeCell ref="B19:C19"/>
    <mergeCell ref="I2:L2"/>
    <mergeCell ref="A11:C11"/>
    <mergeCell ref="E11:G11"/>
  </mergeCells>
  <dataValidations count="3">
    <dataValidation type="list" allowBlank="1" showInputMessage="1" showErrorMessage="1" sqref="C26" xr:uid="{07F73249-8948-40AD-BFDE-B7510A37C329}">
      <formula1>$B$1:$F$1</formula1>
    </dataValidation>
    <dataValidation type="list" allowBlank="1" showInputMessage="1" showErrorMessage="1" sqref="C25 C12 K4" xr:uid="{24F9200C-D95E-4F14-A343-B88D5EF4B5FE}">
      <formula1>$A$2:$A$7</formula1>
    </dataValidation>
    <dataValidation type="list" allowBlank="1" showInputMessage="1" showErrorMessage="1" sqref="C15" xr:uid="{2AD5CA2F-B4AF-425E-BA9F-BEB23FD2286F}">
      <formula1>$A$1:$F$1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37F0-B0E2-4FA6-86F0-773F7320B78F}">
  <dimension ref="B2:R14"/>
  <sheetViews>
    <sheetView tabSelected="1" workbookViewId="0">
      <selection activeCell="J20" sqref="J20"/>
    </sheetView>
  </sheetViews>
  <sheetFormatPr defaultRowHeight="14.4" x14ac:dyDescent="0.3"/>
  <cols>
    <col min="2" max="2" width="9.5546875" bestFit="1" customWidth="1"/>
    <col min="3" max="3" width="12" bestFit="1" customWidth="1"/>
    <col min="4" max="4" width="9.21875" bestFit="1" customWidth="1"/>
    <col min="5" max="5" width="15.44140625" bestFit="1" customWidth="1"/>
    <col min="8" max="8" width="11.44140625" bestFit="1" customWidth="1"/>
    <col min="9" max="13" width="10.44140625" customWidth="1"/>
    <col min="16" max="16" width="11.44140625" bestFit="1" customWidth="1"/>
  </cols>
  <sheetData>
    <row r="2" spans="2:18" x14ac:dyDescent="0.3">
      <c r="O2" s="29" t="s">
        <v>122</v>
      </c>
      <c r="P2" s="29"/>
      <c r="Q2" s="29"/>
      <c r="R2" s="29"/>
    </row>
    <row r="3" spans="2:18" x14ac:dyDescent="0.3">
      <c r="B3" s="26" t="s">
        <v>109</v>
      </c>
      <c r="C3" s="26" t="s">
        <v>110</v>
      </c>
      <c r="D3" s="26" t="s">
        <v>111</v>
      </c>
      <c r="E3" s="26" t="s">
        <v>112</v>
      </c>
      <c r="H3" s="10" t="s">
        <v>109</v>
      </c>
      <c r="I3" s="10" t="s">
        <v>113</v>
      </c>
      <c r="J3" s="10" t="s">
        <v>114</v>
      </c>
      <c r="K3" s="10" t="s">
        <v>115</v>
      </c>
      <c r="L3" s="10" t="s">
        <v>116</v>
      </c>
      <c r="M3" s="10" t="s">
        <v>120</v>
      </c>
      <c r="O3" s="10" t="s">
        <v>109</v>
      </c>
      <c r="P3" s="10" t="s">
        <v>110</v>
      </c>
      <c r="Q3" s="10" t="s">
        <v>111</v>
      </c>
      <c r="R3" s="10" t="s">
        <v>112</v>
      </c>
    </row>
    <row r="4" spans="2:18" ht="15.6" x14ac:dyDescent="0.3">
      <c r="B4" s="27" t="s">
        <v>113</v>
      </c>
      <c r="C4" s="27">
        <v>200</v>
      </c>
      <c r="D4" s="27">
        <v>97</v>
      </c>
      <c r="E4" s="27">
        <v>98</v>
      </c>
      <c r="H4" s="10" t="s">
        <v>110</v>
      </c>
      <c r="I4" s="10">
        <v>200</v>
      </c>
      <c r="J4" s="10">
        <v>20</v>
      </c>
      <c r="K4" s="10">
        <v>32</v>
      </c>
      <c r="L4" s="10">
        <v>100</v>
      </c>
      <c r="M4" s="10">
        <v>125</v>
      </c>
      <c r="O4" s="10" t="s">
        <v>113</v>
      </c>
      <c r="P4" s="10">
        <v>200</v>
      </c>
      <c r="Q4" s="10">
        <v>97</v>
      </c>
      <c r="R4" s="10">
        <v>98</v>
      </c>
    </row>
    <row r="5" spans="2:18" ht="15.6" x14ac:dyDescent="0.3">
      <c r="B5" s="27" t="s">
        <v>114</v>
      </c>
      <c r="C5" s="27">
        <v>20</v>
      </c>
      <c r="D5" s="27">
        <v>22</v>
      </c>
      <c r="E5" s="27">
        <v>21</v>
      </c>
      <c r="H5" s="10" t="s">
        <v>111</v>
      </c>
      <c r="I5" s="10">
        <v>97</v>
      </c>
      <c r="J5" s="10">
        <v>22</v>
      </c>
      <c r="K5" s="10">
        <v>35</v>
      </c>
      <c r="L5" s="10">
        <v>25</v>
      </c>
      <c r="M5" s="10">
        <v>20</v>
      </c>
      <c r="O5" s="10" t="s">
        <v>114</v>
      </c>
      <c r="P5" s="10">
        <v>20</v>
      </c>
      <c r="Q5" s="10">
        <v>22</v>
      </c>
      <c r="R5" s="10">
        <v>21</v>
      </c>
    </row>
    <row r="6" spans="2:18" ht="15.6" x14ac:dyDescent="0.3">
      <c r="B6" s="27" t="s">
        <v>115</v>
      </c>
      <c r="C6" s="27">
        <v>32</v>
      </c>
      <c r="D6" s="27">
        <v>35</v>
      </c>
      <c r="E6" s="27">
        <v>25</v>
      </c>
      <c r="H6" s="10" t="s">
        <v>112</v>
      </c>
      <c r="I6" s="10">
        <v>98</v>
      </c>
      <c r="J6" s="10">
        <v>21</v>
      </c>
      <c r="K6" s="10">
        <v>25</v>
      </c>
      <c r="L6" s="10">
        <v>54</v>
      </c>
      <c r="M6" s="10">
        <v>14</v>
      </c>
      <c r="O6" s="10" t="s">
        <v>115</v>
      </c>
      <c r="P6" s="10">
        <v>32</v>
      </c>
      <c r="Q6" s="10">
        <v>35</v>
      </c>
      <c r="R6" s="10">
        <v>25</v>
      </c>
    </row>
    <row r="7" spans="2:18" ht="15.6" x14ac:dyDescent="0.3">
      <c r="B7" s="27" t="s">
        <v>116</v>
      </c>
      <c r="C7" s="27">
        <v>100</v>
      </c>
      <c r="D7" s="27">
        <v>25</v>
      </c>
      <c r="E7" s="27">
        <v>54</v>
      </c>
      <c r="O7" s="10" t="s">
        <v>116</v>
      </c>
      <c r="P7" s="10">
        <v>100</v>
      </c>
      <c r="Q7" s="10">
        <v>25</v>
      </c>
      <c r="R7" s="10">
        <v>54</v>
      </c>
    </row>
    <row r="8" spans="2:18" ht="15.6" x14ac:dyDescent="0.3">
      <c r="B8" s="27" t="s">
        <v>117</v>
      </c>
      <c r="C8" s="27">
        <v>125</v>
      </c>
      <c r="D8" s="27">
        <v>20</v>
      </c>
      <c r="E8" s="27">
        <v>14</v>
      </c>
      <c r="O8" s="10" t="s">
        <v>120</v>
      </c>
      <c r="P8" s="10">
        <v>125</v>
      </c>
      <c r="Q8" s="10">
        <v>20</v>
      </c>
      <c r="R8" s="10">
        <v>14</v>
      </c>
    </row>
    <row r="9" spans="2:18" x14ac:dyDescent="0.3">
      <c r="H9" t="s">
        <v>109</v>
      </c>
      <c r="I9" t="s">
        <v>113</v>
      </c>
      <c r="J9" t="s">
        <v>114</v>
      </c>
      <c r="K9" t="s">
        <v>115</v>
      </c>
      <c r="L9" t="s">
        <v>116</v>
      </c>
      <c r="M9" t="s">
        <v>120</v>
      </c>
    </row>
    <row r="10" spans="2:18" x14ac:dyDescent="0.3">
      <c r="H10" t="s">
        <v>110</v>
      </c>
    </row>
    <row r="11" spans="2:18" x14ac:dyDescent="0.3">
      <c r="B11" s="30" t="s">
        <v>118</v>
      </c>
      <c r="C11" s="28" t="s">
        <v>110</v>
      </c>
      <c r="H11" t="s">
        <v>111</v>
      </c>
    </row>
    <row r="12" spans="2:18" x14ac:dyDescent="0.3">
      <c r="B12" s="30" t="s">
        <v>90</v>
      </c>
      <c r="C12" s="28" t="s">
        <v>116</v>
      </c>
      <c r="E12" t="s">
        <v>119</v>
      </c>
      <c r="F12">
        <f>MATCH(C12, Table_57[[#All],[Name]], 0)</f>
        <v>5</v>
      </c>
      <c r="H12" t="s">
        <v>112</v>
      </c>
    </row>
    <row r="13" spans="2:18" x14ac:dyDescent="0.3">
      <c r="B13" s="30" t="s">
        <v>88</v>
      </c>
      <c r="C13" s="28">
        <f>HLOOKUP(C11, Table_57[[#All],[SR Tendulkar]:[V Kohli]], F12, FALSE)</f>
        <v>100</v>
      </c>
    </row>
    <row r="14" spans="2:18" x14ac:dyDescent="0.3">
      <c r="B14" s="30" t="s">
        <v>123</v>
      </c>
      <c r="C14" s="28">
        <f>HLOOKUP(C11, Table_57[[#All],[SR Tendulkar]:[V Kohli]], MATCH(C12, Table_57[[#All],[Name]], 0), FALSE)</f>
        <v>100</v>
      </c>
      <c r="H14" t="s">
        <v>121</v>
      </c>
    </row>
  </sheetData>
  <mergeCells count="1">
    <mergeCell ref="O2:R2"/>
  </mergeCells>
  <dataValidations count="2">
    <dataValidation type="list" allowBlank="1" showInputMessage="1" showErrorMessage="1" sqref="C12" xr:uid="{A2C4B891-BBCF-4EE3-9B44-4220D73B0A59}">
      <formula1>$B$4:$B$8</formula1>
    </dataValidation>
    <dataValidation type="list" allowBlank="1" showInputMessage="1" showErrorMessage="1" sqref="C11" xr:uid="{4542BEC0-4BF0-48A2-83F6-DC9BE56EADC3}">
      <formula1>$C$3:$E$3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flashfill and concat</vt:lpstr>
      <vt:lpstr>logical operators and text fn</vt:lpstr>
      <vt:lpstr>Data Validation</vt:lpstr>
      <vt:lpstr>Population</vt:lpstr>
      <vt:lpstr>Per Capita Income</vt:lpstr>
      <vt:lpstr>HLookup &amp; 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2025-12-07T05:30:44Z</dcterms:created>
  <dcterms:modified xsi:type="dcterms:W3CDTF">2025-12-13T07:18:01Z</dcterms:modified>
</cp:coreProperties>
</file>