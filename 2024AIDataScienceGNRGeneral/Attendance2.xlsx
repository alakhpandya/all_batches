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3DBEC98A-1DBD-4AEB-8FE8-342B7F05E18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1" l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20" i="1"/>
  <c r="D21" i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20" i="1"/>
  <c r="C20" i="1" s="1"/>
  <c r="P3" i="5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<sst xmlns="http://schemas.openxmlformats.org/spreadsheetml/2006/main" count="780" uniqueCount="36">
  <si>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</si>
  <si>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</si>
  <si>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</si>
  <si>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</si>
  <si>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</si>
  <si>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</si>
  <si>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</si>
  <si>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</si>
  <si>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</si>
  <si>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</si>
  <si>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</si>
  <si>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</si>
  <si>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</si>
  <si>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</si>
  <si>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</si>
  <si>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</si>
  <si>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</si>
  <si>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</si>
  <si>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</si>
  <si>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</si>
  <si>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</si>
  <si>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</si>
  <si>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</si>
  <si>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</si>
  <si>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</si>
  <si>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</si>
  <si>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</si>
  <si>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</si>
  <si>
    <t>Confirmation to merge batch</t>
  </si>
  <si>
    <t>Yes</t>
  </si>
  <si>
    <t>Online</t>
  </si>
  <si>
    <t>Divy Shah</t>
  </si>
  <si>
    <t>Jay Parmar</t>
  </si>
  <si>
    <t>Ahmedabad</t>
  </si>
  <si>
    <t>Vraj Shah</t>
  </si>
  <si>
    <t>Vadodara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</si>
</sst>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6"/>
  <sheetViews>
    <sheetView tabSelected="1" workbookViewId="0">
      <pane xSplit="1" topLeftCell="Q1" activePane="topRight" state="frozen"/>
      <selection pane="topRight" activeCell="AK17" sqref="AK17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8" width="6.6640625" bestFit="1" customWidth="1"/>
    <col min="9" max="15" width="6.5546875" bestFit="1" customWidth="1"/>
    <col min="16" max="19" width="7" bestFit="1" customWidth="1"/>
    <col min="20" max="23" width="6.77734375" bestFit="1" customWidth="1"/>
    <col min="27" max="27" width="24.88671875" bestFit="1" customWidth="1"/>
  </cols>
  <sheetData>
    <row r="1" spans="1:3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  <c r="V1" s="1">
        <v>45647</v>
      </c>
      <c r="W1" s="1">
        <v>45654</v>
      </c>
      <c r="X1" s="1">
        <v>45661</v>
      </c>
      <c r="Y1" s="1">
        <v>45675</v>
      </c>
      <c r="Z1" s="1">
        <v>45682</v>
      </c>
      <c r="AA1" t="s">
        <v>28</v>
      </c>
      <c r="AB1" s="1">
        <v>45689</v>
      </c>
      <c r="AC1" s="1">
        <v>45696</v>
      </c>
      <c r="AD1" s="1">
        <v>45703</v>
      </c>
      <c r="AE1" s="1">
        <v>45717</v>
      </c>
      <c r="AF1" s="1">
        <v>45724</v>
      </c>
      <c r="AG1" s="1">
        <v>45731</v>
      </c>
      <c r="AH1" s="1">
        <v>45738</v>
      </c>
      <c r="AI1" s="1">
        <v>45745</v>
      </c>
      <c r="AJ1" s="1">
        <v>45752</v>
      </c>
    </row>
    <row r="2" spans="1:36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  <c r="O2" t="s">
        <v>9</v>
      </c>
      <c r="P2" t="s">
        <v>21</v>
      </c>
      <c r="Q2" t="s">
        <v>15</v>
      </c>
      <c r="R2" t="s">
        <v>15</v>
      </c>
      <c r="S2" t="s">
        <v>15</v>
      </c>
      <c r="T2" t="s">
        <v>15</v>
      </c>
      <c r="U2" t="s">
        <v>9</v>
      </c>
      <c r="V2" t="s">
        <v>21</v>
      </c>
      <c r="W2" t="s">
        <v>9</v>
      </c>
      <c r="X2" t="s">
        <v>15</v>
      </c>
      <c r="Y2" t="s">
        <v>15</v>
      </c>
      <c r="Z2" t="s">
        <v>15</v>
      </c>
      <c r="AA2" t="s">
        <v>29</v>
      </c>
      <c r="AB2" t="s">
        <v>15</v>
      </c>
      <c r="AC2" t="s">
        <v>9</v>
      </c>
      <c r="AD2" t="s">
        <v>15</v>
      </c>
      <c r="AE2" t="s">
        <v>21</v>
      </c>
      <c r="AF2" t="s">
        <v>15</v>
      </c>
      <c r="AG2" t="s">
        <v>21</v>
      </c>
      <c r="AH2" t="s">
        <v>21</v>
      </c>
      <c r="AI2" t="s">
        <v>21</v>
      </c>
      <c r="AJ2" t="s">
        <v>21</v>
      </c>
    </row>
    <row r="3" spans="1:36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  <c r="O3" t="s">
        <v>9</v>
      </c>
      <c r="P3" t="s">
        <v>9</v>
      </c>
      <c r="Q3" t="s">
        <v>9</v>
      </c>
      <c r="R3" t="s">
        <v>21</v>
      </c>
      <c r="S3" t="s">
        <v>9</v>
      </c>
      <c r="T3" t="s">
        <v>21</v>
      </c>
      <c r="U3" t="s">
        <v>9</v>
      </c>
      <c r="V3" t="s">
        <v>15</v>
      </c>
      <c r="W3" t="s">
        <v>21</v>
      </c>
      <c r="X3" t="s">
        <v>9</v>
      </c>
      <c r="Y3" t="s">
        <v>9</v>
      </c>
      <c r="Z3" t="s">
        <v>9</v>
      </c>
      <c r="AA3" t="s">
        <v>29</v>
      </c>
      <c r="AB3" t="s">
        <v>9</v>
      </c>
      <c r="AC3" t="s">
        <v>9</v>
      </c>
      <c r="AD3" t="s">
        <v>9</v>
      </c>
      <c r="AE3" t="s">
        <v>9</v>
      </c>
      <c r="AF3" t="s">
        <v>15</v>
      </c>
      <c r="AG3" t="s">
        <v>9</v>
      </c>
      <c r="AH3" t="s">
        <v>9</v>
      </c>
      <c r="AI3" t="s">
        <v>9</v>
      </c>
      <c r="AJ3" t="s">
        <v>9</v>
      </c>
    </row>
    <row r="4" spans="1:36" x14ac:dyDescent="0.3">
      <c r="A4" t="s">
        <v>8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15</v>
      </c>
      <c r="M4" t="s">
        <v>9</v>
      </c>
      <c r="N4" t="s">
        <v>9</v>
      </c>
      <c r="O4" t="s">
        <v>21</v>
      </c>
      <c r="P4" t="s">
        <v>9</v>
      </c>
      <c r="Q4" t="s">
        <v>9</v>
      </c>
      <c r="R4" t="s">
        <v>21</v>
      </c>
      <c r="S4" t="s">
        <v>9</v>
      </c>
      <c r="T4" t="s">
        <v>9</v>
      </c>
      <c r="U4" t="s">
        <v>9</v>
      </c>
      <c r="V4" t="s">
        <v>9</v>
      </c>
      <c r="W4" t="s">
        <v>9</v>
      </c>
      <c r="X4" t="s">
        <v>9</v>
      </c>
      <c r="Y4" t="s">
        <v>9</v>
      </c>
      <c r="Z4" t="s">
        <v>9</v>
      </c>
      <c r="AA4" t="s">
        <v>29</v>
      </c>
      <c r="AB4" t="s">
        <v>9</v>
      </c>
      <c r="AC4" t="s">
        <v>9</v>
      </c>
      <c r="AD4" t="s">
        <v>9</v>
      </c>
      <c r="AE4" t="s">
        <v>21</v>
      </c>
      <c r="AF4" t="s">
        <v>9</v>
      </c>
      <c r="AG4" t="s">
        <v>9</v>
      </c>
      <c r="AH4" t="s">
        <v>9</v>
      </c>
      <c r="AI4" t="s">
        <v>9</v>
      </c>
      <c r="AJ4" t="s">
        <v>21</v>
      </c>
    </row>
    <row r="5" spans="1:36" x14ac:dyDescent="0.3">
      <c r="A5" t="s">
        <v>4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15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9</v>
      </c>
      <c r="T5" t="s">
        <v>9</v>
      </c>
      <c r="U5" t="s">
        <v>9</v>
      </c>
      <c r="V5" t="s">
        <v>9</v>
      </c>
      <c r="W5" t="s">
        <v>21</v>
      </c>
      <c r="X5" t="s">
        <v>9</v>
      </c>
      <c r="Y5" t="s">
        <v>21</v>
      </c>
      <c r="Z5" t="s">
        <v>21</v>
      </c>
      <c r="AA5" t="s">
        <v>29</v>
      </c>
      <c r="AB5" t="s">
        <v>9</v>
      </c>
      <c r="AC5" t="s">
        <v>9</v>
      </c>
      <c r="AD5" t="s">
        <v>21</v>
      </c>
      <c r="AE5" t="s">
        <v>9</v>
      </c>
      <c r="AF5" t="s">
        <v>9</v>
      </c>
      <c r="AG5" t="s">
        <v>9</v>
      </c>
      <c r="AH5" t="s">
        <v>9</v>
      </c>
      <c r="AI5" t="s">
        <v>9</v>
      </c>
      <c r="AJ5" t="s">
        <v>9</v>
      </c>
    </row>
    <row r="6" spans="1:36" x14ac:dyDescent="0.3">
      <c r="A6" t="s">
        <v>3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9</v>
      </c>
      <c r="P6" t="s">
        <v>21</v>
      </c>
      <c r="Q6" t="s">
        <v>21</v>
      </c>
      <c r="R6" t="s">
        <v>9</v>
      </c>
      <c r="S6" t="s">
        <v>21</v>
      </c>
      <c r="T6" t="s">
        <v>21</v>
      </c>
      <c r="U6" t="s">
        <v>9</v>
      </c>
      <c r="V6" t="s">
        <v>9</v>
      </c>
      <c r="W6" t="s">
        <v>21</v>
      </c>
      <c r="X6" t="s">
        <v>15</v>
      </c>
      <c r="Y6" t="s">
        <v>9</v>
      </c>
      <c r="Z6" t="s">
        <v>9</v>
      </c>
      <c r="AA6" t="s">
        <v>29</v>
      </c>
      <c r="AB6" t="s">
        <v>9</v>
      </c>
      <c r="AC6" t="s">
        <v>9</v>
      </c>
      <c r="AD6" t="s">
        <v>9</v>
      </c>
      <c r="AE6" t="s">
        <v>9</v>
      </c>
      <c r="AF6" t="s">
        <v>15</v>
      </c>
      <c r="AG6" t="s">
        <v>9</v>
      </c>
      <c r="AH6" t="s">
        <v>9</v>
      </c>
      <c r="AI6" t="s">
        <v>9</v>
      </c>
      <c r="AJ6" t="s">
        <v>9</v>
      </c>
    </row>
    <row r="7" spans="1:36" x14ac:dyDescent="0.3">
      <c r="A7" t="s">
        <v>11</v>
      </c>
      <c r="B7" t="s">
        <v>17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9</v>
      </c>
      <c r="L7" t="s">
        <v>21</v>
      </c>
      <c r="M7" t="s">
        <v>9</v>
      </c>
      <c r="N7" t="s">
        <v>9</v>
      </c>
      <c r="O7" t="s">
        <v>9</v>
      </c>
      <c r="P7" t="s">
        <v>9</v>
      </c>
      <c r="Q7" t="s">
        <v>9</v>
      </c>
      <c r="R7" t="s">
        <v>9</v>
      </c>
      <c r="S7" t="s">
        <v>9</v>
      </c>
      <c r="T7" t="s">
        <v>9</v>
      </c>
      <c r="U7" t="s">
        <v>9</v>
      </c>
      <c r="V7" t="s">
        <v>21</v>
      </c>
      <c r="W7" t="s">
        <v>9</v>
      </c>
      <c r="X7" t="s">
        <v>9</v>
      </c>
      <c r="Y7" t="s">
        <v>9</v>
      </c>
      <c r="Z7" t="s">
        <v>9</v>
      </c>
      <c r="AB7" t="s">
        <v>21</v>
      </c>
      <c r="AC7" t="s">
        <v>9</v>
      </c>
      <c r="AD7" t="s">
        <v>9</v>
      </c>
      <c r="AE7" t="s">
        <v>21</v>
      </c>
      <c r="AF7" t="s">
        <v>21</v>
      </c>
      <c r="AG7" t="s">
        <v>21</v>
      </c>
      <c r="AH7" t="s">
        <v>21</v>
      </c>
      <c r="AI7" t="s">
        <v>21</v>
      </c>
      <c r="AJ7" t="s">
        <v>21</v>
      </c>
    </row>
    <row r="8" spans="1:36" x14ac:dyDescent="0.3">
      <c r="A8" t="s">
        <v>24</v>
      </c>
      <c r="B8" t="s">
        <v>19</v>
      </c>
      <c r="C8" t="s">
        <v>20</v>
      </c>
      <c r="D8" t="s">
        <v>20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9</v>
      </c>
      <c r="Q8" t="s">
        <v>9</v>
      </c>
      <c r="R8" t="s">
        <v>9</v>
      </c>
      <c r="S8" t="s">
        <v>9</v>
      </c>
      <c r="T8" t="s">
        <v>21</v>
      </c>
      <c r="U8" t="s">
        <v>9</v>
      </c>
      <c r="V8" t="s">
        <v>21</v>
      </c>
      <c r="W8" t="s">
        <v>21</v>
      </c>
      <c r="X8" t="s">
        <v>9</v>
      </c>
      <c r="Y8" t="s">
        <v>9</v>
      </c>
      <c r="Z8" t="s">
        <v>9</v>
      </c>
      <c r="AA8" t="s">
        <v>29</v>
      </c>
      <c r="AB8" t="s">
        <v>9</v>
      </c>
      <c r="AC8" t="s">
        <v>9</v>
      </c>
      <c r="AD8" t="s">
        <v>9</v>
      </c>
      <c r="AE8" t="s">
        <v>9</v>
      </c>
      <c r="AF8" t="s">
        <v>9</v>
      </c>
      <c r="AG8" t="s">
        <v>21</v>
      </c>
      <c r="AH8" t="s">
        <v>9</v>
      </c>
      <c r="AI8" t="s">
        <v>9</v>
      </c>
      <c r="AJ8" t="s">
        <v>9</v>
      </c>
    </row>
    <row r="9" spans="1:36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  <c r="O9" t="s">
        <v>9</v>
      </c>
      <c r="P9" t="s">
        <v>15</v>
      </c>
      <c r="Q9" t="s">
        <v>9</v>
      </c>
      <c r="R9" t="s">
        <v>9</v>
      </c>
      <c r="S9" t="s">
        <v>9</v>
      </c>
      <c r="T9" t="s">
        <v>9</v>
      </c>
      <c r="U9" t="s">
        <v>21</v>
      </c>
      <c r="V9" t="s">
        <v>9</v>
      </c>
      <c r="W9" t="s">
        <v>21</v>
      </c>
      <c r="X9" t="s">
        <v>9</v>
      </c>
      <c r="Y9" t="s">
        <v>9</v>
      </c>
      <c r="Z9" t="s">
        <v>9</v>
      </c>
      <c r="AA9" t="s">
        <v>29</v>
      </c>
      <c r="AB9" t="s">
        <v>9</v>
      </c>
      <c r="AC9" t="s">
        <v>9</v>
      </c>
      <c r="AD9" t="s">
        <v>9</v>
      </c>
      <c r="AE9" t="s">
        <v>15</v>
      </c>
      <c r="AF9" t="s">
        <v>9</v>
      </c>
      <c r="AG9" t="s">
        <v>9</v>
      </c>
      <c r="AH9" t="s">
        <v>9</v>
      </c>
      <c r="AI9" t="s">
        <v>21</v>
      </c>
      <c r="AJ9" t="s">
        <v>9</v>
      </c>
    </row>
    <row r="10" spans="1:36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21</v>
      </c>
      <c r="S10" t="s">
        <v>9</v>
      </c>
      <c r="T10" t="s">
        <v>9</v>
      </c>
      <c r="U10" t="s">
        <v>9</v>
      </c>
      <c r="V10" t="s">
        <v>9</v>
      </c>
      <c r="W10" t="s">
        <v>21</v>
      </c>
      <c r="X10" t="s">
        <v>9</v>
      </c>
      <c r="Y10" t="s">
        <v>9</v>
      </c>
      <c r="Z10" t="s">
        <v>9</v>
      </c>
      <c r="AA10" t="s">
        <v>29</v>
      </c>
      <c r="AB10" t="s">
        <v>9</v>
      </c>
      <c r="AC10" t="s">
        <v>21</v>
      </c>
      <c r="AD10" t="s">
        <v>9</v>
      </c>
      <c r="AE10" t="s">
        <v>9</v>
      </c>
      <c r="AF10" t="s">
        <v>9</v>
      </c>
      <c r="AG10" t="s">
        <v>9</v>
      </c>
      <c r="AH10" t="s">
        <v>9</v>
      </c>
      <c r="AI10" t="s">
        <v>9</v>
      </c>
      <c r="AJ10" t="s">
        <v>9</v>
      </c>
    </row>
    <row r="11" spans="1:36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9</v>
      </c>
      <c r="Q11" t="s">
        <v>9</v>
      </c>
      <c r="R11" t="s">
        <v>9</v>
      </c>
      <c r="S11" t="s">
        <v>9</v>
      </c>
      <c r="T11" t="s">
        <v>9</v>
      </c>
      <c r="U11" t="s">
        <v>9</v>
      </c>
      <c r="V11" t="s">
        <v>9</v>
      </c>
      <c r="W11" t="s">
        <v>21</v>
      </c>
      <c r="X11" t="s">
        <v>9</v>
      </c>
      <c r="Y11" t="s">
        <v>9</v>
      </c>
      <c r="Z11" t="s">
        <v>9</v>
      </c>
      <c r="AA11" t="s">
        <v>29</v>
      </c>
      <c r="AB11" t="s">
        <v>9</v>
      </c>
      <c r="AC11" t="s">
        <v>9</v>
      </c>
      <c r="AD11" t="s">
        <v>9</v>
      </c>
      <c r="AE11" t="s">
        <v>9</v>
      </c>
      <c r="AF11" t="s">
        <v>21</v>
      </c>
      <c r="AG11" t="s">
        <v>9</v>
      </c>
      <c r="AH11" t="s">
        <v>9</v>
      </c>
      <c r="AI11" t="s">
        <v>9</v>
      </c>
      <c r="AJ11" t="s">
        <v>9</v>
      </c>
    </row>
    <row r="12" spans="1:36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  <c r="O12" t="s">
        <v>9</v>
      </c>
      <c r="P12" t="s">
        <v>21</v>
      </c>
      <c r="Q12" t="s">
        <v>9</v>
      </c>
      <c r="R12" t="s">
        <v>9</v>
      </c>
      <c r="S12" t="s">
        <v>9</v>
      </c>
      <c r="T12" t="s">
        <v>21</v>
      </c>
      <c r="U12" t="s">
        <v>9</v>
      </c>
      <c r="V12" t="s">
        <v>9</v>
      </c>
      <c r="W12" t="s">
        <v>21</v>
      </c>
      <c r="X12" t="s">
        <v>21</v>
      </c>
      <c r="Y12" t="s">
        <v>9</v>
      </c>
      <c r="Z12" t="s">
        <v>9</v>
      </c>
      <c r="AA12" t="s">
        <v>29</v>
      </c>
      <c r="AB12" t="s">
        <v>9</v>
      </c>
      <c r="AC12" t="s">
        <v>9</v>
      </c>
      <c r="AD12" t="s">
        <v>9</v>
      </c>
      <c r="AE12" t="s">
        <v>9</v>
      </c>
      <c r="AF12" t="s">
        <v>9</v>
      </c>
      <c r="AG12" t="s">
        <v>9</v>
      </c>
      <c r="AH12" t="s">
        <v>9</v>
      </c>
      <c r="AI12" t="s">
        <v>9</v>
      </c>
      <c r="AJ12" t="s">
        <v>21</v>
      </c>
    </row>
    <row r="13" spans="1:36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  <c r="O13" t="s">
        <v>15</v>
      </c>
      <c r="P13" t="s">
        <v>15</v>
      </c>
      <c r="Q13" t="s">
        <v>9</v>
      </c>
      <c r="R13" t="s">
        <v>9</v>
      </c>
      <c r="S13" t="s">
        <v>9</v>
      </c>
      <c r="T13" t="s">
        <v>15</v>
      </c>
      <c r="U13" t="s">
        <v>15</v>
      </c>
      <c r="V13" t="s">
        <v>9</v>
      </c>
      <c r="W13" t="s">
        <v>9</v>
      </c>
      <c r="X13" t="s">
        <v>9</v>
      </c>
      <c r="Y13" t="s">
        <v>9</v>
      </c>
      <c r="Z13" t="s">
        <v>21</v>
      </c>
      <c r="AA13" t="s">
        <v>29</v>
      </c>
      <c r="AB13" t="s">
        <v>9</v>
      </c>
      <c r="AC13" t="s">
        <v>9</v>
      </c>
      <c r="AD13" t="s">
        <v>21</v>
      </c>
      <c r="AE13" t="s">
        <v>15</v>
      </c>
      <c r="AF13" t="s">
        <v>9</v>
      </c>
      <c r="AG13" t="s">
        <v>9</v>
      </c>
      <c r="AH13" t="s">
        <v>15</v>
      </c>
      <c r="AI13" t="s">
        <v>15</v>
      </c>
      <c r="AJ13" t="s">
        <v>15</v>
      </c>
    </row>
    <row r="14" spans="1:36" x14ac:dyDescent="0.3">
      <c r="A14" t="s">
        <v>16</v>
      </c>
      <c r="B14" t="s">
        <v>18</v>
      </c>
      <c r="C14" t="s">
        <v>20</v>
      </c>
      <c r="D14" t="s">
        <v>15</v>
      </c>
      <c r="E14" t="s">
        <v>21</v>
      </c>
      <c r="F14" t="s">
        <v>15</v>
      </c>
      <c r="G14" t="s">
        <v>15</v>
      </c>
      <c r="H14" t="s">
        <v>15</v>
      </c>
      <c r="I14" t="s">
        <v>15</v>
      </c>
      <c r="J14" t="s">
        <v>21</v>
      </c>
      <c r="K14" t="s">
        <v>15</v>
      </c>
      <c r="L14" t="s">
        <v>21</v>
      </c>
      <c r="M14" t="s">
        <v>21</v>
      </c>
      <c r="N14" t="s">
        <v>21</v>
      </c>
      <c r="O14" t="s">
        <v>21</v>
      </c>
      <c r="P14" t="s">
        <v>15</v>
      </c>
      <c r="Q14" t="s">
        <v>15</v>
      </c>
      <c r="R14" t="s">
        <v>15</v>
      </c>
      <c r="S14" t="s">
        <v>21</v>
      </c>
      <c r="T14" t="s">
        <v>15</v>
      </c>
      <c r="U14" t="s">
        <v>15</v>
      </c>
      <c r="V14" t="s">
        <v>15</v>
      </c>
      <c r="W14" t="s">
        <v>21</v>
      </c>
      <c r="X14" t="s">
        <v>15</v>
      </c>
      <c r="Y14" t="s">
        <v>21</v>
      </c>
      <c r="Z14" t="s">
        <v>21</v>
      </c>
      <c r="AA14" t="s">
        <v>29</v>
      </c>
      <c r="AB14" t="s">
        <v>9</v>
      </c>
      <c r="AC14" t="s">
        <v>9</v>
      </c>
      <c r="AD14" t="s">
        <v>21</v>
      </c>
      <c r="AE14" t="s">
        <v>15</v>
      </c>
      <c r="AF14" t="s">
        <v>21</v>
      </c>
      <c r="AG14" t="s">
        <v>15</v>
      </c>
      <c r="AH14" t="s">
        <v>15</v>
      </c>
      <c r="AI14" t="s">
        <v>15</v>
      </c>
      <c r="AJ14" t="s">
        <v>15</v>
      </c>
    </row>
    <row r="15" spans="1:36" x14ac:dyDescent="0.3">
      <c r="A15" t="s">
        <v>31</v>
      </c>
      <c r="B15" t="s">
        <v>33</v>
      </c>
      <c r="AH15" t="s">
        <v>15</v>
      </c>
      <c r="AI15" t="s">
        <v>21</v>
      </c>
      <c r="AJ15" t="s">
        <v>9</v>
      </c>
    </row>
    <row r="16" spans="1:36" x14ac:dyDescent="0.3">
      <c r="A16" t="s">
        <v>32</v>
      </c>
      <c r="B16" t="s">
        <v>19</v>
      </c>
      <c r="AH16" t="s">
        <v>9</v>
      </c>
      <c r="AI16" t="s">
        <v>9</v>
      </c>
      <c r="AJ16" t="s">
        <v>21</v>
      </c>
    </row>
    <row r="17" spans="1:36" x14ac:dyDescent="0.3">
      <c r="A17" t="s">
        <v>34</v>
      </c>
      <c r="B17" t="s">
        <v>35</v>
      </c>
      <c r="AJ17" t="s">
        <v>9</v>
      </c>
    </row>
    <row r="19" spans="1:36" x14ac:dyDescent="0.3">
      <c r="D19" t="s">
        <v>30</v>
      </c>
    </row>
    <row r="20" spans="1:36" x14ac:dyDescent="0.3">
      <c r="A20" t="s">
        <v>22</v>
      </c>
      <c r="B20" t="e">
        <f>COUNTIF(#REF!, "O") + COUNTIF(#REF!, "P")</f>
        <v>#REF!</v>
      </c>
      <c r="C20" t="e">
        <f>ROUND(B20*100/24, 1)</f>
        <v>#REF!</v>
      </c>
      <c r="D20" t="e">
        <f>COUNTIF(#REF!, "O")</f>
        <v>#REF!</v>
      </c>
    </row>
    <row r="21" spans="1:36" x14ac:dyDescent="0.3">
      <c r="A21" t="s">
        <v>10</v>
      </c>
      <c r="B21">
        <f>COUNTIF(C2:Z2, "O") + COUNTIF(C2:Z2, "P")</f>
        <v>21</v>
      </c>
      <c r="C21">
        <f t="shared" ref="C21:C36" si="0">ROUND(B21*100/24, 1)</f>
        <v>87.5</v>
      </c>
      <c r="D21">
        <f>COUNTIF(C2:Z2, "O")</f>
        <v>10</v>
      </c>
    </row>
    <row r="22" spans="1:36" x14ac:dyDescent="0.3">
      <c r="A22" t="s">
        <v>1</v>
      </c>
      <c r="B22">
        <f>COUNTIF(C3:Z3, "O") + COUNTIF(C3:Z3, "P")</f>
        <v>17</v>
      </c>
      <c r="C22">
        <f t="shared" si="0"/>
        <v>70.8</v>
      </c>
      <c r="D22">
        <f>COUNTIF(C3:Z3, "O")</f>
        <v>1</v>
      </c>
    </row>
    <row r="23" spans="1:36" x14ac:dyDescent="0.3">
      <c r="A23" t="s">
        <v>2</v>
      </c>
      <c r="B23" t="e">
        <f>COUNTIF(#REF!, "O") + COUNTIF(#REF!, "P")</f>
        <v>#REF!</v>
      </c>
      <c r="C23" t="e">
        <f t="shared" si="0"/>
        <v>#REF!</v>
      </c>
      <c r="D23" t="e">
        <f>COUNTIF(#REF!, "O")</f>
        <v>#REF!</v>
      </c>
    </row>
    <row r="24" spans="1:36" x14ac:dyDescent="0.3">
      <c r="A24" t="s">
        <v>8</v>
      </c>
      <c r="B24">
        <f t="shared" ref="B24:B33" si="1">COUNTIF(C4:Z4, "O") + COUNTIF(C4:Z4, "P")</f>
        <v>21</v>
      </c>
      <c r="C24">
        <f t="shared" si="0"/>
        <v>87.5</v>
      </c>
      <c r="D24">
        <f t="shared" ref="D24:D33" si="2">COUNTIF(C4:Z4, "O")</f>
        <v>1</v>
      </c>
    </row>
    <row r="25" spans="1:36" x14ac:dyDescent="0.3">
      <c r="A25" t="s">
        <v>4</v>
      </c>
      <c r="B25">
        <f t="shared" si="1"/>
        <v>19</v>
      </c>
      <c r="C25">
        <f t="shared" si="0"/>
        <v>79.2</v>
      </c>
      <c r="D25">
        <f t="shared" si="2"/>
        <v>1</v>
      </c>
    </row>
    <row r="26" spans="1:36" x14ac:dyDescent="0.3">
      <c r="A26" t="s">
        <v>3</v>
      </c>
      <c r="B26">
        <f t="shared" si="1"/>
        <v>18</v>
      </c>
      <c r="C26">
        <f t="shared" si="0"/>
        <v>75</v>
      </c>
      <c r="D26">
        <f t="shared" si="2"/>
        <v>2</v>
      </c>
    </row>
    <row r="27" spans="1:36" x14ac:dyDescent="0.3">
      <c r="A27" t="s">
        <v>11</v>
      </c>
      <c r="B27">
        <f t="shared" si="1"/>
        <v>22</v>
      </c>
      <c r="C27">
        <f t="shared" si="0"/>
        <v>91.7</v>
      </c>
      <c r="D27">
        <f t="shared" si="2"/>
        <v>0</v>
      </c>
    </row>
    <row r="28" spans="1:36" x14ac:dyDescent="0.3">
      <c r="A28" t="s">
        <v>24</v>
      </c>
      <c r="B28">
        <f t="shared" si="1"/>
        <v>18</v>
      </c>
      <c r="C28">
        <f t="shared" si="0"/>
        <v>75</v>
      </c>
      <c r="D28">
        <f t="shared" si="2"/>
        <v>1</v>
      </c>
    </row>
    <row r="29" spans="1:36" x14ac:dyDescent="0.3">
      <c r="A29" t="s">
        <v>13</v>
      </c>
      <c r="B29">
        <f t="shared" si="1"/>
        <v>22</v>
      </c>
      <c r="C29">
        <f t="shared" si="0"/>
        <v>91.7</v>
      </c>
      <c r="D29">
        <f t="shared" si="2"/>
        <v>3</v>
      </c>
    </row>
    <row r="30" spans="1:36" x14ac:dyDescent="0.3">
      <c r="A30" t="s">
        <v>12</v>
      </c>
      <c r="B30">
        <f t="shared" si="1"/>
        <v>21</v>
      </c>
      <c r="C30">
        <f t="shared" si="0"/>
        <v>87.5</v>
      </c>
      <c r="D30">
        <f t="shared" si="2"/>
        <v>2</v>
      </c>
    </row>
    <row r="31" spans="1:36" x14ac:dyDescent="0.3">
      <c r="A31" t="s">
        <v>5</v>
      </c>
      <c r="B31">
        <f t="shared" si="1"/>
        <v>22</v>
      </c>
      <c r="C31">
        <f t="shared" si="0"/>
        <v>91.7</v>
      </c>
      <c r="D31">
        <f t="shared" si="2"/>
        <v>1</v>
      </c>
    </row>
    <row r="32" spans="1:36" x14ac:dyDescent="0.3">
      <c r="A32" t="s">
        <v>6</v>
      </c>
      <c r="B32">
        <f t="shared" si="1"/>
        <v>16</v>
      </c>
      <c r="C32">
        <f t="shared" si="0"/>
        <v>66.7</v>
      </c>
      <c r="D32">
        <f t="shared" si="2"/>
        <v>2</v>
      </c>
    </row>
    <row r="33" spans="1:4" x14ac:dyDescent="0.3">
      <c r="A33" t="s">
        <v>7</v>
      </c>
      <c r="B33">
        <f t="shared" si="1"/>
        <v>22</v>
      </c>
      <c r="C33">
        <f t="shared" si="0"/>
        <v>91.7</v>
      </c>
      <c r="D33">
        <f t="shared" si="2"/>
        <v>7</v>
      </c>
    </row>
    <row r="34" spans="1:4" x14ac:dyDescent="0.3">
      <c r="A34" t="s">
        <v>25</v>
      </c>
      <c r="B34" t="e">
        <f>COUNTIF(#REF!, "O") + COUNTIF(#REF!, "P")</f>
        <v>#REF!</v>
      </c>
      <c r="C34" t="e">
        <f t="shared" si="0"/>
        <v>#REF!</v>
      </c>
      <c r="D34" t="e">
        <f>COUNTIF(#REF!, "O")</f>
        <v>#REF!</v>
      </c>
    </row>
    <row r="35" spans="1:4" x14ac:dyDescent="0.3">
      <c r="A35" t="s">
        <v>14</v>
      </c>
      <c r="B35" t="e">
        <f>COUNTIF(#REF!, "O") + COUNTIF(#REF!, "P")</f>
        <v>#REF!</v>
      </c>
      <c r="C35" t="e">
        <f t="shared" si="0"/>
        <v>#REF!</v>
      </c>
      <c r="D35" t="e">
        <f>COUNTIF(#REF!, "O")</f>
        <v>#REF!</v>
      </c>
    </row>
    <row r="36" spans="1:4" x14ac:dyDescent="0.3">
      <c r="A36" t="s">
        <v>16</v>
      </c>
      <c r="B36">
        <f t="shared" ref="B36" si="3">COUNTIF(C14:Z14, "O") + COUNTIF(C14:Z14, "P")</f>
        <v>13</v>
      </c>
      <c r="C36">
        <f t="shared" si="0"/>
        <v>54.2</v>
      </c>
      <c r="D36">
        <f t="shared" ref="D36" si="4">COUNTIF(C14:Z14, "O")</f>
        <v>13</v>
      </c>
    </row>
  </sheetData>
  <sortState xmlns:xlrd2="http://schemas.microsoft.com/office/spreadsheetml/2017/richdata2" ref="A2:G14">
    <sortCondition ref="A2:A1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2025-04-05T12:47:16Z</dcterms:modified>
</cp:coreProperties>
</file>