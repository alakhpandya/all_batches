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024AIDataScienceGNRGeneral\Advanced Excel\"/>
    </mc:Choice>
  </mc:AlternateContent>
  <xr:revisionPtr revIDLastSave="0" documentId="13_ncr:1_{4F3D01B2-DBDE-48E3-99ED-F745A8A955B0}" xr6:coauthVersionLast="47" xr6:coauthVersionMax="47" xr10:uidLastSave="{00000000-0000-0000-0000-000000000000}"/>
  <bookViews>
    <workbookView xWindow="-108" yWindow="-108" windowWidth="23256" windowHeight="12576" xr2:uid="{AC0E3AFF-C2B3-4F6D-972A-E31AA273448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2" l="1"/>
  <c r="L17" i="2"/>
  <c r="L15" i="2"/>
  <c r="L13" i="2"/>
  <c r="L11" i="2"/>
  <c r="L9" i="2"/>
  <c r="L6" i="2"/>
  <c r="L4" i="2"/>
  <c r="L2" i="2"/>
  <c r="E15" i="2"/>
  <c r="E14" i="2"/>
  <c r="E13" i="2"/>
  <c r="E9" i="2"/>
  <c r="E10" i="2"/>
  <c r="E11" i="2"/>
  <c r="E3" i="2"/>
  <c r="E4" i="2"/>
  <c r="E5" i="2"/>
  <c r="E6" i="2"/>
  <c r="E7" i="2"/>
  <c r="E8" i="2"/>
  <c r="E2" i="2"/>
  <c r="C17" i="2"/>
  <c r="B17" i="2"/>
  <c r="D10" i="2"/>
  <c r="D14" i="2"/>
  <c r="D15" i="2"/>
  <c r="D3" i="2"/>
  <c r="D4" i="2"/>
  <c r="D5" i="2"/>
  <c r="D6" i="2"/>
  <c r="D7" i="2"/>
  <c r="D8" i="2"/>
  <c r="D9" i="2"/>
  <c r="D11" i="2"/>
  <c r="D13" i="2"/>
  <c r="D2" i="2"/>
  <c r="D19" i="2" s="1"/>
  <c r="D17" i="2" l="1"/>
  <c r="D18" i="2" s="1"/>
</calcChain>
</file>

<file path=xl/sharedStrings.xml><?xml version="1.0" encoding="utf-8"?>
<sst xmlns="http://schemas.openxmlformats.org/spreadsheetml/2006/main" count="32" uniqueCount="25">
  <si>
    <t>Student No</t>
  </si>
  <si>
    <t>Sub 1</t>
  </si>
  <si>
    <t>Sub 2</t>
  </si>
  <si>
    <t>Subject Total</t>
  </si>
  <si>
    <t>Fixed Internal Marks</t>
  </si>
  <si>
    <t>Total Marks</t>
  </si>
  <si>
    <t>Bonus Marks</t>
  </si>
  <si>
    <t>Attendance</t>
  </si>
  <si>
    <t>Qualified or Not</t>
  </si>
  <si>
    <t>Independence Day</t>
  </si>
  <si>
    <t>Sports Day</t>
  </si>
  <si>
    <t>Final Marks</t>
  </si>
  <si>
    <t>Number of students Attended Independance Day</t>
  </si>
  <si>
    <t>P</t>
  </si>
  <si>
    <t>Number of students who gave exam of subject 2</t>
  </si>
  <si>
    <t>Number of students who gave exam of subject 1</t>
  </si>
  <si>
    <t>Number of students Attended Sports Day</t>
  </si>
  <si>
    <t>No of students who scored atleast 25 in sub1 but could not score more than 20 in sub2</t>
  </si>
  <si>
    <t>Total</t>
  </si>
  <si>
    <t>Average Marks per student</t>
  </si>
  <si>
    <t>Average by AVERAGE formula</t>
  </si>
  <si>
    <t>Number of students having attendance atleast 70</t>
  </si>
  <si>
    <t>Number of students having attendance exactly 8</t>
  </si>
  <si>
    <t>Sum of Total marks of students whose attendance was atleast 70</t>
  </si>
  <si>
    <t>Sum of Total marks of students whose attendance was atleast 70 &amp; attended independence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</si>
</sst>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3773-18E9-4FAD-9322-62360E2EAD6F}">
  <dimension ref="A1:L20"/>
  <sheetViews>
    <sheetView tabSelected="1" zoomScale="130" zoomScaleNormal="130" workbookViewId="0"/>
  </sheetViews>
  <sheetFormatPr defaultRowHeight="14.4" x14ac:dyDescent="0.3"/>
  <cols>
    <col min="1" max="1" width="9.88671875" customWidth="1"/>
    <col min="2" max="2" width="7.88671875" customWidth="1"/>
    <col min="3" max="3" width="5.33203125" bestFit="1" customWidth="1"/>
    <col min="4" max="4" width="11.77734375" bestFit="1" customWidth="1"/>
    <col min="5" max="5" width="10.77734375" bestFit="1" customWidth="1"/>
    <col min="6" max="6" width="11.44140625" bestFit="1" customWidth="1"/>
    <col min="7" max="7" width="10.33203125" bestFit="1" customWidth="1"/>
    <col min="8" max="8" width="14.21875" bestFit="1" customWidth="1"/>
    <col min="9" max="9" width="16.6640625" bestFit="1" customWidth="1"/>
    <col min="10" max="10" width="9.6640625" bestFit="1" customWidth="1"/>
    <col min="11" max="11" width="10.21875" bestFit="1" customWidth="1"/>
    <col min="12" max="12" width="77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>
        <v>1</v>
      </c>
      <c r="B2">
        <v>22</v>
      </c>
      <c r="C2">
        <v>32</v>
      </c>
      <c r="D2">
        <f>B2+C2</f>
        <v>54</v>
      </c>
      <c r="E2">
        <f>D2+D$20</f>
        <v>74</v>
      </c>
      <c r="F2">
        <v>10</v>
      </c>
      <c r="G2">
        <v>55</v>
      </c>
      <c r="I2">
        <v>1</v>
      </c>
      <c r="J2" t="s">
        <v>13</v>
      </c>
      <c r="L2" s="1">
        <f>SUM(I2:I15)</f>
        <v>9</v>
      </c>
    </row>
    <row r="3" spans="1:12" x14ac:dyDescent="0.3">
      <c r="A3">
        <v>2</v>
      </c>
      <c r="C3">
        <v>31</v>
      </c>
      <c r="D3">
        <f t="shared" ref="D3:D15" si="0">B3+C3</f>
        <v>31</v>
      </c>
      <c r="E3">
        <f t="shared" ref="E3:E15" si="1">D3+D$20</f>
        <v>51</v>
      </c>
      <c r="G3">
        <v>68</v>
      </c>
      <c r="L3" s="1" t="s">
        <v>14</v>
      </c>
    </row>
    <row r="4" spans="1:12" x14ac:dyDescent="0.3">
      <c r="A4">
        <v>3</v>
      </c>
      <c r="B4">
        <v>14</v>
      </c>
      <c r="C4">
        <v>30</v>
      </c>
      <c r="D4">
        <f t="shared" si="0"/>
        <v>44</v>
      </c>
      <c r="E4">
        <f t="shared" si="1"/>
        <v>64</v>
      </c>
      <c r="G4">
        <v>77</v>
      </c>
      <c r="L4" s="1">
        <f>COUNT(C2:C15)</f>
        <v>11</v>
      </c>
    </row>
    <row r="5" spans="1:12" x14ac:dyDescent="0.3">
      <c r="A5">
        <v>4</v>
      </c>
      <c r="B5">
        <v>15</v>
      </c>
      <c r="D5">
        <f t="shared" si="0"/>
        <v>15</v>
      </c>
      <c r="E5">
        <f t="shared" si="1"/>
        <v>35</v>
      </c>
      <c r="G5">
        <v>98</v>
      </c>
      <c r="I5">
        <v>1</v>
      </c>
      <c r="L5" s="1" t="s">
        <v>15</v>
      </c>
    </row>
    <row r="6" spans="1:12" x14ac:dyDescent="0.3">
      <c r="A6">
        <v>5</v>
      </c>
      <c r="B6">
        <v>25</v>
      </c>
      <c r="C6">
        <v>32</v>
      </c>
      <c r="D6">
        <f t="shared" si="0"/>
        <v>57</v>
      </c>
      <c r="E6">
        <f t="shared" si="1"/>
        <v>77</v>
      </c>
      <c r="G6">
        <v>83</v>
      </c>
      <c r="I6">
        <v>1</v>
      </c>
      <c r="J6" t="s">
        <v>13</v>
      </c>
      <c r="L6" s="1">
        <f>COUNT(B2:B15)</f>
        <v>10</v>
      </c>
    </row>
    <row r="7" spans="1:12" x14ac:dyDescent="0.3">
      <c r="A7">
        <v>6</v>
      </c>
      <c r="C7">
        <v>34</v>
      </c>
      <c r="D7">
        <f t="shared" si="0"/>
        <v>34</v>
      </c>
      <c r="E7">
        <f t="shared" si="1"/>
        <v>54</v>
      </c>
      <c r="G7">
        <v>92</v>
      </c>
      <c r="I7">
        <v>1</v>
      </c>
      <c r="J7" t="s">
        <v>13</v>
      </c>
      <c r="L7" s="1"/>
    </row>
    <row r="8" spans="1:12" x14ac:dyDescent="0.3">
      <c r="A8">
        <v>7</v>
      </c>
      <c r="B8">
        <v>20</v>
      </c>
      <c r="C8">
        <v>21</v>
      </c>
      <c r="D8">
        <f t="shared" si="0"/>
        <v>41</v>
      </c>
      <c r="E8">
        <f t="shared" si="1"/>
        <v>61</v>
      </c>
      <c r="G8">
        <v>52</v>
      </c>
      <c r="I8">
        <v>1</v>
      </c>
      <c r="L8" s="1" t="s">
        <v>16</v>
      </c>
    </row>
    <row r="9" spans="1:12" x14ac:dyDescent="0.3">
      <c r="A9">
        <v>8</v>
      </c>
      <c r="B9">
        <v>25</v>
      </c>
      <c r="D9">
        <f t="shared" si="0"/>
        <v>25</v>
      </c>
      <c r="E9">
        <f>D9+D$20</f>
        <v>45</v>
      </c>
      <c r="G9">
        <v>33</v>
      </c>
      <c r="L9" s="1">
        <f>COUNTA(J2:J15)</f>
        <v>8</v>
      </c>
    </row>
    <row r="10" spans="1:12" x14ac:dyDescent="0.3">
      <c r="A10">
        <v>9</v>
      </c>
      <c r="B10">
        <v>19</v>
      </c>
      <c r="C10">
        <v>12</v>
      </c>
      <c r="D10">
        <f>B10+C10</f>
        <v>31</v>
      </c>
      <c r="E10">
        <f t="shared" si="1"/>
        <v>51</v>
      </c>
      <c r="G10">
        <v>8</v>
      </c>
      <c r="I10">
        <v>1</v>
      </c>
      <c r="J10" t="s">
        <v>13</v>
      </c>
      <c r="L10" s="1" t="s">
        <v>21</v>
      </c>
    </row>
    <row r="11" spans="1:12" x14ac:dyDescent="0.3">
      <c r="A11">
        <v>10</v>
      </c>
      <c r="B11">
        <v>26</v>
      </c>
      <c r="C11">
        <v>11</v>
      </c>
      <c r="D11">
        <f t="shared" si="0"/>
        <v>37</v>
      </c>
      <c r="E11">
        <f t="shared" si="1"/>
        <v>57</v>
      </c>
      <c r="G11">
        <v>42</v>
      </c>
      <c r="L11" s="1">
        <f>COUNTIF(G2:G15, "&gt;=70")</f>
        <v>6</v>
      </c>
    </row>
    <row r="12" spans="1:12" x14ac:dyDescent="0.3">
      <c r="A12">
        <v>11</v>
      </c>
      <c r="G12">
        <v>49</v>
      </c>
      <c r="I12">
        <v>1</v>
      </c>
      <c r="J12" t="s">
        <v>13</v>
      </c>
      <c r="L12" s="1" t="s">
        <v>22</v>
      </c>
    </row>
    <row r="13" spans="1:12" x14ac:dyDescent="0.3">
      <c r="A13">
        <v>12</v>
      </c>
      <c r="B13">
        <v>24</v>
      </c>
      <c r="C13">
        <v>27</v>
      </c>
      <c r="D13">
        <f t="shared" si="0"/>
        <v>51</v>
      </c>
      <c r="E13">
        <f t="shared" si="1"/>
        <v>71</v>
      </c>
      <c r="G13">
        <v>39</v>
      </c>
      <c r="J13" t="s">
        <v>13</v>
      </c>
      <c r="L13" s="2">
        <f>COUNTIF(G2:G15, 8)</f>
        <v>1</v>
      </c>
    </row>
    <row r="14" spans="1:12" x14ac:dyDescent="0.3">
      <c r="A14">
        <v>13</v>
      </c>
      <c r="C14">
        <v>29</v>
      </c>
      <c r="D14">
        <f>B14+C14</f>
        <v>29</v>
      </c>
      <c r="E14">
        <f>D14+D$20</f>
        <v>49</v>
      </c>
      <c r="G14">
        <v>90</v>
      </c>
      <c r="I14">
        <v>1</v>
      </c>
      <c r="J14" t="s">
        <v>13</v>
      </c>
      <c r="L14" s="1" t="s">
        <v>17</v>
      </c>
    </row>
    <row r="15" spans="1:12" x14ac:dyDescent="0.3">
      <c r="A15">
        <v>14</v>
      </c>
      <c r="B15">
        <v>20</v>
      </c>
      <c r="C15">
        <v>9</v>
      </c>
      <c r="D15">
        <f t="shared" si="0"/>
        <v>29</v>
      </c>
      <c r="E15">
        <f>D15+D$20</f>
        <v>49</v>
      </c>
      <c r="G15">
        <v>80</v>
      </c>
      <c r="I15">
        <v>1</v>
      </c>
      <c r="J15" t="s">
        <v>13</v>
      </c>
      <c r="L15" s="1">
        <f>COUNTIFS(B2:B15, "&gt;=25", C2:C15, "&lt;=20")</f>
        <v>1</v>
      </c>
    </row>
    <row r="16" spans="1:12" x14ac:dyDescent="0.3">
      <c r="L16" s="1" t="s">
        <v>23</v>
      </c>
    </row>
    <row r="17" spans="1:12" x14ac:dyDescent="0.3">
      <c r="A17" t="s">
        <v>18</v>
      </c>
      <c r="B17">
        <f>SUM(B2:B15)</f>
        <v>210</v>
      </c>
      <c r="C17">
        <f>SUM(C2:C15)</f>
        <v>268</v>
      </c>
      <c r="D17">
        <f>SUM(D2:D15)</f>
        <v>478</v>
      </c>
      <c r="L17" s="1">
        <f>SUMIF(G2:G15, "&gt;=70", E2:E15)</f>
        <v>328</v>
      </c>
    </row>
    <row r="18" spans="1:12" x14ac:dyDescent="0.3">
      <c r="A18" t="s">
        <v>19</v>
      </c>
      <c r="D18">
        <f>ROUND(D17/14, 2)</f>
        <v>34.14</v>
      </c>
      <c r="L18" s="1" t="s">
        <v>24</v>
      </c>
    </row>
    <row r="19" spans="1:12" x14ac:dyDescent="0.3">
      <c r="A19" t="s">
        <v>20</v>
      </c>
      <c r="D19">
        <f>ROUND(AVERAGE(D2:D15), 2)</f>
        <v>36.770000000000003</v>
      </c>
      <c r="L19" s="1">
        <f>SUMIFS(E2:E15, G2:G15, "&gt;=70",I2:I15, 1)</f>
        <v>264</v>
      </c>
    </row>
    <row r="20" spans="1:12" x14ac:dyDescent="0.3">
      <c r="A20" t="s">
        <v>4</v>
      </c>
      <c r="D2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2024-12-28T12:51:54Z</dcterms:created>
  <dcterms:modified xsi:type="dcterms:W3CDTF">2024-12-28T13:45:50Z</dcterms:modified>
</cp:coreProperties>
</file>