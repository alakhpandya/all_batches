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ll_batches\2025_DSAIML_Gen\01 Tableau And Excel\"/>
    </mc:Choice>
  </mc:AlternateContent>
  <xr:revisionPtr revIDLastSave="0" documentId="13_ncr:1_{5FF66F20-F040-4A47-BFF5-79B7344075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2" i="2"/>
  <c r="O6" i="2"/>
  <c r="O19" i="2"/>
  <c r="O9" i="2"/>
  <c r="O4" i="2"/>
  <c r="O2" i="2"/>
  <c r="O17" i="2"/>
  <c r="D2" i="2"/>
  <c r="O15" i="2"/>
  <c r="O13" i="2"/>
  <c r="O11" i="2"/>
  <c r="H3" i="2"/>
  <c r="H9" i="2"/>
  <c r="H10" i="2"/>
  <c r="H11" i="2"/>
  <c r="F2" i="2"/>
  <c r="H2" i="2" s="1"/>
  <c r="C19" i="2"/>
  <c r="B19" i="2"/>
  <c r="C17" i="2"/>
  <c r="C18" i="2" s="1"/>
  <c r="B17" i="2"/>
  <c r="B18" i="2" s="1"/>
  <c r="D3" i="2"/>
  <c r="F3" i="2" s="1"/>
  <c r="D4" i="2"/>
  <c r="F4" i="2" s="1"/>
  <c r="H4" i="2" s="1"/>
  <c r="D5" i="2"/>
  <c r="F5" i="2" s="1"/>
  <c r="H5" i="2" s="1"/>
  <c r="D6" i="2"/>
  <c r="F6" i="2" s="1"/>
  <c r="H6" i="2" s="1"/>
  <c r="D7" i="2"/>
  <c r="F7" i="2" s="1"/>
  <c r="H7" i="2" s="1"/>
  <c r="D8" i="2"/>
  <c r="F8" i="2" s="1"/>
  <c r="H8" i="2" s="1"/>
  <c r="D9" i="2"/>
  <c r="F9" i="2" s="1"/>
  <c r="D10" i="2"/>
  <c r="F10" i="2" s="1"/>
  <c r="D11" i="2"/>
  <c r="F11" i="2" s="1"/>
  <c r="D12" i="2"/>
  <c r="F12" i="2" s="1"/>
  <c r="H12" i="2" s="1"/>
  <c r="D13" i="2"/>
  <c r="F13" i="2" s="1"/>
  <c r="H13" i="2" s="1"/>
  <c r="D14" i="2"/>
  <c r="F14" i="2" s="1"/>
  <c r="H14" i="2" s="1"/>
  <c r="D15" i="2"/>
  <c r="F15" i="2" s="1"/>
  <c r="H15" i="2" s="1"/>
  <c r="D19" i="2" l="1"/>
  <c r="D17" i="2"/>
  <c r="D18" i="2" s="1"/>
</calcChain>
</file>

<file path=xl/sharedStrings.xml><?xml version="1.0" encoding="utf-8"?>
<sst xmlns="http://schemas.openxmlformats.org/spreadsheetml/2006/main" count="41" uniqueCount="34">
  <si>
    <t>Student No</t>
  </si>
  <si>
    <t>Sub 1</t>
  </si>
  <si>
    <t>Sub 2</t>
  </si>
  <si>
    <t>Subject Total</t>
  </si>
  <si>
    <t>Total Marks</t>
  </si>
  <si>
    <t>Bonus Marks</t>
  </si>
  <si>
    <t>Attendance</t>
  </si>
  <si>
    <t>Independence Day</t>
  </si>
  <si>
    <t>Sports Day</t>
  </si>
  <si>
    <t>Final Marks</t>
  </si>
  <si>
    <t>Number of students Attended Independance Day</t>
  </si>
  <si>
    <t>P</t>
  </si>
  <si>
    <t>There is some</t>
  </si>
  <si>
    <t>Number of students who gave exam of subject 2</t>
  </si>
  <si>
    <t>important notes</t>
  </si>
  <si>
    <t>here so, we can't</t>
  </si>
  <si>
    <t>Number of students who gave exam of subject 1</t>
  </si>
  <si>
    <t xml:space="preserve">extend "20" in </t>
  </si>
  <si>
    <t>all these cells</t>
  </si>
  <si>
    <t>Number of students Attended Sports Day</t>
  </si>
  <si>
    <t>Number of students having attendance atleast 70%</t>
  </si>
  <si>
    <t>Number of students having attendance exactly 8%</t>
  </si>
  <si>
    <t>No of students who scored atleast 25 in sub1 but could not score more than 20 in sub2</t>
  </si>
  <si>
    <t>Total marks of students whose attendance was atleast 70%</t>
  </si>
  <si>
    <t>Total</t>
  </si>
  <si>
    <t>Average Marks per student</t>
  </si>
  <si>
    <t>Total marks of students whose attendance was atleast 70% &amp; attended independence day</t>
  </si>
  <si>
    <t>Average by AVERAGE formula</t>
  </si>
  <si>
    <t>Summary</t>
  </si>
  <si>
    <t>Avg Marks/Student</t>
  </si>
  <si>
    <t>Intermediate Marks</t>
  </si>
  <si>
    <t>Internal Marks</t>
  </si>
  <si>
    <t>Ext. Marks</t>
  </si>
  <si>
    <t>Eligible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</si>
</sst>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righ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5775-EC26-4D0A-BF94-5A191CD841ED}">
  <dimension ref="A1:O24"/>
  <sheetViews>
    <sheetView tabSelected="1" zoomScale="130" zoomScaleNormal="130" workbookViewId="0"/>
  </sheetViews>
  <sheetFormatPr defaultRowHeight="14.4" x14ac:dyDescent="0.3"/>
  <cols>
    <col min="1" max="1" width="26" bestFit="1" customWidth="1"/>
    <col min="2" max="3" width="5.33203125" bestFit="1" customWidth="1"/>
    <col min="4" max="4" width="13.33203125" customWidth="1"/>
    <col min="5" max="5" width="15" customWidth="1"/>
    <col min="6" max="6" width="10.77734375" bestFit="1" customWidth="1"/>
    <col min="7" max="7" width="9.5546875" bestFit="1" customWidth="1"/>
    <col min="8" max="8" width="17.6640625" bestFit="1" customWidth="1"/>
    <col min="9" max="9" width="11.44140625" bestFit="1" customWidth="1"/>
    <col min="10" max="10" width="10.33203125" bestFit="1" customWidth="1"/>
    <col min="11" max="11" width="17.33203125" bestFit="1" customWidth="1"/>
    <col min="12" max="12" width="9.6640625" bestFit="1" customWidth="1"/>
    <col min="13" max="13" width="12.5546875" bestFit="1" customWidth="1"/>
    <col min="14" max="14" width="10.5546875" bestFit="1" customWidth="1"/>
    <col min="15" max="15" width="7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31</v>
      </c>
      <c r="F1" t="s">
        <v>4</v>
      </c>
      <c r="G1" t="s">
        <v>32</v>
      </c>
      <c r="H1" t="s">
        <v>30</v>
      </c>
      <c r="I1" t="s">
        <v>5</v>
      </c>
      <c r="J1" t="s">
        <v>6</v>
      </c>
      <c r="K1" t="s">
        <v>7</v>
      </c>
      <c r="L1" t="s">
        <v>8</v>
      </c>
      <c r="M1" t="s">
        <v>33</v>
      </c>
      <c r="N1" t="s">
        <v>9</v>
      </c>
      <c r="O1" t="s">
        <v>10</v>
      </c>
    </row>
    <row r="2" spans="1:15" x14ac:dyDescent="0.3">
      <c r="A2">
        <v>1</v>
      </c>
      <c r="B2">
        <v>22</v>
      </c>
      <c r="C2">
        <v>32</v>
      </c>
      <c r="D2">
        <f>B2+C2</f>
        <v>54</v>
      </c>
      <c r="E2">
        <v>20</v>
      </c>
      <c r="F2">
        <f>D2+E$2</f>
        <v>74</v>
      </c>
      <c r="G2">
        <v>15</v>
      </c>
      <c r="H2">
        <f>F2+$G$2</f>
        <v>89</v>
      </c>
      <c r="I2">
        <v>10</v>
      </c>
      <c r="J2">
        <v>55</v>
      </c>
      <c r="K2">
        <v>1</v>
      </c>
      <c r="L2" t="s">
        <v>11</v>
      </c>
      <c r="M2" t="str">
        <f>IF(J2&gt;=70, "Yes", "No")</f>
        <v>No</v>
      </c>
      <c r="N2">
        <f>IF(J2&gt;=70, H2+I$2, H2)</f>
        <v>89</v>
      </c>
      <c r="O2" s="1">
        <f>SUM(K2:K15)</f>
        <v>9</v>
      </c>
    </row>
    <row r="3" spans="1:15" x14ac:dyDescent="0.3">
      <c r="A3">
        <v>2</v>
      </c>
      <c r="C3">
        <v>31</v>
      </c>
      <c r="D3">
        <f t="shared" ref="D3:D15" si="0">B3+C3</f>
        <v>31</v>
      </c>
      <c r="E3" s="2" t="s">
        <v>12</v>
      </c>
      <c r="F3">
        <f>D3+E$2</f>
        <v>51</v>
      </c>
      <c r="H3">
        <f t="shared" ref="H3:H15" si="1">F3+$G$2</f>
        <v>66</v>
      </c>
      <c r="J3">
        <v>68</v>
      </c>
      <c r="M3" t="str">
        <f t="shared" ref="M3:M18" si="2">IF(J3&gt;=70, "Yes", "No")</f>
        <v>No</v>
      </c>
      <c r="N3">
        <f t="shared" ref="N3:N15" si="3">IF(J3&gt;=70, H3+I$2, H3)</f>
        <v>66</v>
      </c>
      <c r="O3" s="1" t="s">
        <v>13</v>
      </c>
    </row>
    <row r="4" spans="1:15" x14ac:dyDescent="0.3">
      <c r="A4">
        <v>3</v>
      </c>
      <c r="B4">
        <v>14</v>
      </c>
      <c r="C4">
        <v>30</v>
      </c>
      <c r="D4">
        <f t="shared" si="0"/>
        <v>44</v>
      </c>
      <c r="E4" s="2" t="s">
        <v>14</v>
      </c>
      <c r="F4">
        <f>D4+E$2</f>
        <v>64</v>
      </c>
      <c r="H4">
        <f t="shared" si="1"/>
        <v>79</v>
      </c>
      <c r="J4">
        <v>77</v>
      </c>
      <c r="M4" t="str">
        <f t="shared" si="2"/>
        <v>Yes</v>
      </c>
      <c r="N4">
        <f t="shared" si="3"/>
        <v>89</v>
      </c>
      <c r="O4" s="1">
        <f>COUNT(C2:C15)</f>
        <v>11</v>
      </c>
    </row>
    <row r="5" spans="1:15" x14ac:dyDescent="0.3">
      <c r="A5">
        <v>4</v>
      </c>
      <c r="B5">
        <v>15</v>
      </c>
      <c r="D5">
        <f t="shared" si="0"/>
        <v>15</v>
      </c>
      <c r="E5" s="2" t="s">
        <v>15</v>
      </c>
      <c r="F5">
        <f>D5+E$2</f>
        <v>35</v>
      </c>
      <c r="H5">
        <f t="shared" si="1"/>
        <v>50</v>
      </c>
      <c r="J5">
        <v>98</v>
      </c>
      <c r="K5">
        <v>1</v>
      </c>
      <c r="M5" t="str">
        <f t="shared" si="2"/>
        <v>Yes</v>
      </c>
      <c r="N5">
        <f t="shared" si="3"/>
        <v>60</v>
      </c>
      <c r="O5" s="1" t="s">
        <v>16</v>
      </c>
    </row>
    <row r="6" spans="1:15" x14ac:dyDescent="0.3">
      <c r="A6">
        <v>5</v>
      </c>
      <c r="B6">
        <v>25</v>
      </c>
      <c r="C6">
        <v>32</v>
      </c>
      <c r="D6">
        <f t="shared" si="0"/>
        <v>57</v>
      </c>
      <c r="E6" s="2" t="s">
        <v>17</v>
      </c>
      <c r="F6">
        <f t="shared" ref="F6:F15" si="4">D6+E$2</f>
        <v>77</v>
      </c>
      <c r="H6">
        <f t="shared" si="1"/>
        <v>92</v>
      </c>
      <c r="J6">
        <v>83</v>
      </c>
      <c r="K6">
        <v>1</v>
      </c>
      <c r="L6" t="s">
        <v>11</v>
      </c>
      <c r="M6" t="str">
        <f t="shared" si="2"/>
        <v>Yes</v>
      </c>
      <c r="N6">
        <f t="shared" si="3"/>
        <v>102</v>
      </c>
      <c r="O6" s="1">
        <f>COUNT(B2:B15)</f>
        <v>10</v>
      </c>
    </row>
    <row r="7" spans="1:15" x14ac:dyDescent="0.3">
      <c r="A7">
        <v>6</v>
      </c>
      <c r="C7">
        <v>34</v>
      </c>
      <c r="D7">
        <f t="shared" si="0"/>
        <v>34</v>
      </c>
      <c r="E7" s="2" t="s">
        <v>18</v>
      </c>
      <c r="F7">
        <f t="shared" si="4"/>
        <v>54</v>
      </c>
      <c r="H7">
        <f t="shared" si="1"/>
        <v>69</v>
      </c>
      <c r="J7">
        <v>92</v>
      </c>
      <c r="K7">
        <v>1</v>
      </c>
      <c r="L7" t="s">
        <v>11</v>
      </c>
      <c r="M7" t="str">
        <f t="shared" si="2"/>
        <v>Yes</v>
      </c>
      <c r="N7">
        <f t="shared" si="3"/>
        <v>79</v>
      </c>
      <c r="O7" s="1"/>
    </row>
    <row r="8" spans="1:15" x14ac:dyDescent="0.3">
      <c r="A8">
        <v>7</v>
      </c>
      <c r="B8">
        <v>20</v>
      </c>
      <c r="C8">
        <v>21</v>
      </c>
      <c r="D8">
        <f t="shared" si="0"/>
        <v>41</v>
      </c>
      <c r="F8">
        <f t="shared" si="4"/>
        <v>61</v>
      </c>
      <c r="H8">
        <f t="shared" si="1"/>
        <v>76</v>
      </c>
      <c r="J8">
        <v>52</v>
      </c>
      <c r="K8">
        <v>1</v>
      </c>
      <c r="M8" t="str">
        <f t="shared" si="2"/>
        <v>No</v>
      </c>
      <c r="N8">
        <f t="shared" si="3"/>
        <v>76</v>
      </c>
      <c r="O8" s="1" t="s">
        <v>19</v>
      </c>
    </row>
    <row r="9" spans="1:15" x14ac:dyDescent="0.3">
      <c r="A9">
        <v>8</v>
      </c>
      <c r="B9">
        <v>25</v>
      </c>
      <c r="D9">
        <f t="shared" si="0"/>
        <v>25</v>
      </c>
      <c r="F9">
        <f t="shared" si="4"/>
        <v>45</v>
      </c>
      <c r="H9">
        <f t="shared" si="1"/>
        <v>60</v>
      </c>
      <c r="J9">
        <v>33</v>
      </c>
      <c r="M9" t="str">
        <f t="shared" si="2"/>
        <v>No</v>
      </c>
      <c r="N9">
        <f t="shared" si="3"/>
        <v>60</v>
      </c>
      <c r="O9" s="1">
        <f>COUNTA(L2:L15)</f>
        <v>8</v>
      </c>
    </row>
    <row r="10" spans="1:15" x14ac:dyDescent="0.3">
      <c r="A10">
        <v>9</v>
      </c>
      <c r="B10">
        <v>19</v>
      </c>
      <c r="C10">
        <v>12</v>
      </c>
      <c r="D10">
        <f t="shared" si="0"/>
        <v>31</v>
      </c>
      <c r="F10">
        <f t="shared" si="4"/>
        <v>51</v>
      </c>
      <c r="H10">
        <f t="shared" si="1"/>
        <v>66</v>
      </c>
      <c r="J10">
        <v>8</v>
      </c>
      <c r="K10">
        <v>1</v>
      </c>
      <c r="L10" t="s">
        <v>11</v>
      </c>
      <c r="M10" t="str">
        <f t="shared" si="2"/>
        <v>No</v>
      </c>
      <c r="N10">
        <f t="shared" si="3"/>
        <v>66</v>
      </c>
      <c r="O10" s="1" t="s">
        <v>20</v>
      </c>
    </row>
    <row r="11" spans="1:15" x14ac:dyDescent="0.3">
      <c r="A11">
        <v>10</v>
      </c>
      <c r="B11">
        <v>26</v>
      </c>
      <c r="C11">
        <v>11</v>
      </c>
      <c r="D11">
        <f t="shared" si="0"/>
        <v>37</v>
      </c>
      <c r="F11">
        <f t="shared" si="4"/>
        <v>57</v>
      </c>
      <c r="H11">
        <f t="shared" si="1"/>
        <v>72</v>
      </c>
      <c r="J11">
        <v>42</v>
      </c>
      <c r="M11" t="str">
        <f t="shared" si="2"/>
        <v>No</v>
      </c>
      <c r="N11">
        <f t="shared" si="3"/>
        <v>72</v>
      </c>
      <c r="O11" s="1">
        <f>COUNTIF(J2:J15, "&gt;=70")</f>
        <v>6</v>
      </c>
    </row>
    <row r="12" spans="1:15" x14ac:dyDescent="0.3">
      <c r="A12">
        <v>11</v>
      </c>
      <c r="D12">
        <f t="shared" si="0"/>
        <v>0</v>
      </c>
      <c r="F12">
        <f t="shared" si="4"/>
        <v>20</v>
      </c>
      <c r="H12">
        <f t="shared" si="1"/>
        <v>35</v>
      </c>
      <c r="J12">
        <v>49</v>
      </c>
      <c r="K12">
        <v>1</v>
      </c>
      <c r="L12" t="s">
        <v>11</v>
      </c>
      <c r="M12" t="str">
        <f t="shared" si="2"/>
        <v>No</v>
      </c>
      <c r="N12">
        <f t="shared" si="3"/>
        <v>35</v>
      </c>
      <c r="O12" s="1" t="s">
        <v>21</v>
      </c>
    </row>
    <row r="13" spans="1:15" x14ac:dyDescent="0.3">
      <c r="A13">
        <v>12</v>
      </c>
      <c r="B13">
        <v>24</v>
      </c>
      <c r="C13">
        <v>27</v>
      </c>
      <c r="D13">
        <f t="shared" si="0"/>
        <v>51</v>
      </c>
      <c r="F13">
        <f t="shared" si="4"/>
        <v>71</v>
      </c>
      <c r="H13">
        <f t="shared" si="1"/>
        <v>86</v>
      </c>
      <c r="J13">
        <v>39</v>
      </c>
      <c r="L13" t="s">
        <v>11</v>
      </c>
      <c r="M13" t="str">
        <f t="shared" si="2"/>
        <v>No</v>
      </c>
      <c r="N13">
        <f t="shared" si="3"/>
        <v>86</v>
      </c>
      <c r="O13" s="3">
        <f>COUNTIF(J2:J15,  8)</f>
        <v>1</v>
      </c>
    </row>
    <row r="14" spans="1:15" x14ac:dyDescent="0.3">
      <c r="A14">
        <v>13</v>
      </c>
      <c r="C14">
        <v>29</v>
      </c>
      <c r="D14">
        <f t="shared" si="0"/>
        <v>29</v>
      </c>
      <c r="F14">
        <f t="shared" si="4"/>
        <v>49</v>
      </c>
      <c r="H14">
        <f t="shared" si="1"/>
        <v>64</v>
      </c>
      <c r="J14">
        <v>90</v>
      </c>
      <c r="K14">
        <v>1</v>
      </c>
      <c r="L14" t="s">
        <v>11</v>
      </c>
      <c r="M14" t="str">
        <f t="shared" si="2"/>
        <v>Yes</v>
      </c>
      <c r="N14">
        <f t="shared" si="3"/>
        <v>74</v>
      </c>
      <c r="O14" s="1" t="s">
        <v>22</v>
      </c>
    </row>
    <row r="15" spans="1:15" x14ac:dyDescent="0.3">
      <c r="A15">
        <v>14</v>
      </c>
      <c r="B15">
        <v>20</v>
      </c>
      <c r="C15">
        <v>9</v>
      </c>
      <c r="D15">
        <f t="shared" si="0"/>
        <v>29</v>
      </c>
      <c r="F15">
        <f t="shared" si="4"/>
        <v>49</v>
      </c>
      <c r="H15">
        <f t="shared" si="1"/>
        <v>64</v>
      </c>
      <c r="J15">
        <v>80</v>
      </c>
      <c r="K15">
        <v>1</v>
      </c>
      <c r="L15" t="s">
        <v>11</v>
      </c>
      <c r="M15" t="str">
        <f t="shared" si="2"/>
        <v>Yes</v>
      </c>
      <c r="N15">
        <f t="shared" si="3"/>
        <v>74</v>
      </c>
      <c r="O15" s="1">
        <f>COUNTIFS(B2:B15, "&gt;=25", C2:C15, "&lt;=20")</f>
        <v>1</v>
      </c>
    </row>
    <row r="16" spans="1:15" x14ac:dyDescent="0.3">
      <c r="O16" s="1" t="s">
        <v>23</v>
      </c>
    </row>
    <row r="17" spans="1:15" x14ac:dyDescent="0.3">
      <c r="A17" t="s">
        <v>24</v>
      </c>
      <c r="B17">
        <f>SUM(B2:B15)</f>
        <v>210</v>
      </c>
      <c r="C17">
        <f t="shared" ref="C17:D17" si="5">SUM(C2:C15)</f>
        <v>268</v>
      </c>
      <c r="D17">
        <f t="shared" si="5"/>
        <v>478</v>
      </c>
      <c r="O17" s="1">
        <f>SUMIF(J2:J15, "&gt;=70", F2:F15)</f>
        <v>328</v>
      </c>
    </row>
    <row r="18" spans="1:15" x14ac:dyDescent="0.3">
      <c r="A18" t="s">
        <v>25</v>
      </c>
      <c r="B18">
        <f>B17/14</f>
        <v>15</v>
      </c>
      <c r="C18">
        <f t="shared" ref="C18" si="6">C17/14</f>
        <v>19.142857142857142</v>
      </c>
      <c r="D18">
        <f>ROUND(D17/14, 2)</f>
        <v>34.14</v>
      </c>
      <c r="O18" s="1" t="s">
        <v>26</v>
      </c>
    </row>
    <row r="19" spans="1:15" x14ac:dyDescent="0.3">
      <c r="A19" t="s">
        <v>27</v>
      </c>
      <c r="B19">
        <f>AVERAGE(B2:B15)</f>
        <v>21</v>
      </c>
      <c r="C19">
        <f>AVERAGE(C2:C15)</f>
        <v>24.363636363636363</v>
      </c>
      <c r="D19">
        <f>ROUND(AVERAGE(D2:D15), 2)</f>
        <v>34.14</v>
      </c>
      <c r="O19" s="1">
        <f>SUMIFS(F2:F15, J2:J15, "&gt;=70", K2:K15, 1)</f>
        <v>264</v>
      </c>
    </row>
    <row r="23" spans="1:15" x14ac:dyDescent="0.3">
      <c r="I23" t="s">
        <v>28</v>
      </c>
    </row>
    <row r="24" spans="1:15" x14ac:dyDescent="0.3">
      <c r="I2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Alakh Pandya</cp:lastModifiedBy>
  <dcterms:created xsi:type="dcterms:W3CDTF">2015-06-05T18:17:20Z</dcterms:created>
  <dcterms:modified xsi:type="dcterms:W3CDTF">2026-01-17T10:30:17Z</dcterms:modified>
</cp:coreProperties>
</file>